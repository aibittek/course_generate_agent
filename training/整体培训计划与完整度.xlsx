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Source\xflz_eai_car1\course_generate_agent\training\"/>
    </mc:Choice>
  </mc:AlternateContent>
  <bookViews>
    <workbookView windowWidth="24750" windowHeight="12080"/>
  </bookViews>
  <sheets>
    <sheet name="整体培训总览" sheetId="1" r:id="rId1"/>
    <sheet name="课程教学计划" sheetId="2" r:id="rId2"/>
    <sheet name="软硬件环境清单" sheetId="3" r:id="rId3"/>
    <sheet name="考核与评分标准" sheetId="4" r:id="rId4"/>
    <sheet name="安全与风险预案" sheetId="5" r:id="rId5"/>
    <sheet name="完整度评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<sst xmlns="http://schemas.openxmlformats.org/spreadsheetml/2006/main" count="2072" uniqueCount="1164">
  <si>
    <t>整体培训计划总览（三套培训方案统一整合）</t>
  </si>
  <si>
    <t>具身智能核心、综合场景、行业应用课程培训方案：①具身智能核心课程（B2&amp;C1） ②智慧工厂&amp;智慧交通场景（C1） ③具身智能端到端行业应用（LeRobot/聆动/宇树）</t>
  </si>
  <si>
    <t>方案</t>
  </si>
  <si>
    <t>培训体系/定位</t>
  </si>
  <si>
    <t>课时</t>
  </si>
  <si>
    <t>覆盖课程范围</t>
  </si>
  <si>
    <t>硬件平台</t>
  </si>
  <si>
    <t>实验数</t>
  </si>
  <si>
    <t>方案1：具身智能核心课程</t>
  </si>
  <si>
    <t>基于具身智能实验箱B2&amp;小车C1的基础+综合核心能力培训（ROS2/视觉/语音/SLAM/机械臂/大模型）</t>
  </si>
  <si>
    <t>256 课时</t>
  </si>
  <si>
    <t>6 门（ROS2:20、视觉:12、语音&amp;大模型:6、SLAM:7、机械臂:7、综合应用:9）
其中：ROS2的传感器部分适用于实验箱B2，SLAM部分仅适用于小车C1</t>
  </si>
  <si>
    <t>具身智能实验箱B2
具身智能机器人小车C1</t>
  </si>
  <si>
    <t>方案2：智慧工厂(金砖赛)</t>
  </si>
  <si>
    <t>基于小车C1的场景综合案例培训（建图导航/视觉抓取/离线大模型语音/语音控制导航抓取）</t>
  </si>
  <si>
    <t>32 课时</t>
  </si>
  <si>
    <t>1 门（建图导航、视觉与抓取、离线大模型语音、综合应用）</t>
  </si>
  <si>
    <t>具身智能机器人小车C1</t>
  </si>
  <si>
    <t>方案3：具身智能端到端行业应用</t>
  </si>
  <si>
    <t>端到端“采-训-推”(ACT/VLA) + 双臂行业应用(物料分拣/家庭整理) + 宇树四足工业巡检</t>
  </si>
  <si>
    <t>160 课时</t>
  </si>
  <si>
    <t>5 门（端到端平台基础、双臂采训推、物料分拣、家庭整理、工业巡检）</t>
  </si>
  <si>
    <t>LeRobot(LZ-XL01)
聆动LDT-01
宇树Go2Edu</t>
  </si>
  <si>
    <t>合计</t>
  </si>
  <si>
    <t>预计本次理论培训共68课时，其中方案1培训课时为：32课时、方案2培训课时为：16课时、方案3培训课时为20课时</t>
  </si>
  <si>
    <t>三套方案课程体系明细</t>
  </si>
  <si>
    <t>所属方案</t>
  </si>
  <si>
    <t>课程名称</t>
  </si>
  <si>
    <t>课时(理论+实践)/实验数</t>
  </si>
  <si>
    <t>核心内容</t>
  </si>
  <si>
    <t>现有源码/资料支撑</t>
  </si>
  <si>
    <t>目标(学完能做什么)</t>
  </si>
  <si>
    <t>方案1</t>
  </si>
  <si>
    <t>机器人ROS2应用与开发</t>
  </si>
  <si>
    <t>20 实验</t>
  </si>
  <si>
    <t>节点/话题/服务/动作/参数通信、TF2坐标变换、URDF建模、RViz2与Gazebo仿真</t>
  </si>
  <si>
    <t>car1/source-codes/ros_sensor（B2/C1）</t>
  </si>
  <si>
    <t>独立搭建工作空间、编写发布/订阅/服务/动作节点，用RViz/Gazebo完成机器人建模与可视化</t>
  </si>
  <si>
    <t>机器人视觉应用与开发</t>
  </si>
  <si>
    <t>12 实验</t>
  </si>
  <si>
    <t>Lab/HSV色彩识别、YOLOv8缺陷检测与NPU部署、DeepSORT多目标跟踪、深度3D检测</t>
  </si>
  <si>
    <t>vision/01-12（B2/C1）</t>
  </si>
  <si>
    <t>调用摄像头完成颜色识别、YOLOv8缺陷检测、多目标跟踪与深度测距，并在NPU上部署模型</t>
  </si>
  <si>
    <t>机器人自然语言交互应用</t>
  </si>
  <si>
    <t>6 实验</t>
  </si>
  <si>
    <t>六麦阵列唤醒、ASR语音识别、TTS语音合成、端到端对话与语义理解</t>
  </si>
  <si>
    <t>car1_speech（B2/C1）</t>
  </si>
  <si>
    <t>完成唤醒、识别、合成与端到端语音对话，能对大模型输出进行意图解析</t>
  </si>
  <si>
    <t>机器人SLAM与自主导航</t>
  </si>
  <si>
    <t>7 实验</t>
  </si>
  <si>
    <t>SLAM_Toolbox激光建图、AMCL粒子滤波定位、Nav2路径规划、DWA/TEB动态避障</t>
  </si>
  <si>
    <t>slam + nav2（C1）</t>
  </si>
  <si>
    <t>独立完成室内建图、AMCL定位，并让小车从A点自主导航到B点并动态避障</t>
  </si>
  <si>
    <t>机器人机械臂应用与开发</t>
  </si>
  <si>
    <t>URDF仿真与MoveIt2、1Mbps串口底层协议、FK/IK运动学、视觉动态抓取</t>
  </si>
  <si>
    <t>car1_arm_controller（B2/C1）</t>
  </si>
  <si>
    <t>完成串口底层控制、零位校准、实机IK解算并实现固定与视觉动态抓取</t>
  </si>
  <si>
    <t>机器人大模型综合应用</t>
  </si>
  <si>
    <t>9 实验</t>
  </si>
  <si>
    <t>eai_factory 语音+大模型驱动的智慧工厂：装货/分拣/码垛/安全联锁</t>
  </si>
  <si>
    <t>app/eai_factory（B2/C1）</t>
  </si>
  <si>
    <t>语音指令驱动智慧工厂完成装货/分拣/码垛闭环，并掌握雷达急停安全联锁</t>
  </si>
  <si>
    <t>方案2</t>
  </si>
  <si>
    <t>机器人建图与导航</t>
  </si>
  <si>
    <t>4（2+2）</t>
  </si>
  <si>
    <t>地图构建、AMCL 定位、Nav2 路径规划与自主导航执行</t>
  </si>
  <si>
    <t>car1_navigation（navigation.launch.py）</t>
  </si>
  <si>
    <t>独立完成建图，并让小车从 A 点自主导航到 B 点</t>
  </si>
  <si>
    <t>机器人视觉与抓取</t>
  </si>
  <si>
    <t>深度相机感知、HSV 目标识别、机械臂视觉抓取与放置</t>
  </si>
  <si>
    <t>visual_grasp + arm_controller + HP60C</t>
  </si>
  <si>
    <t>识别目标物（红色方块），并通过机械臂完成抓取与放置</t>
  </si>
  <si>
    <t>机器人离线大模型语音交互</t>
  </si>
  <si>
    <t>离线语音唤醒/识别（ASR）、语音合成（TTS）、大模型意图识别与本地化对话交互</t>
  </si>
  <si>
    <t>car1_speech + eai_factory</t>
  </si>
  <si>
    <t>本地化部署离线语音识别/合成与大模型意图识别，实现语音对话交互</t>
  </si>
  <si>
    <t>机器人语音控制机器人导航抓取综合应用</t>
  </si>
  <si>
    <t>语音指令 → 大模型意图识别 → 建图导航 → 视觉抓取全流程闭环（语音控制完成抓取-搬运任务）</t>
  </si>
  <si>
    <t>navigation_grasp_transport + car1_speech + eai_factory</t>
  </si>
  <si>
    <t>语音指令 → 意图识别 → 建图导航 → 视觉抓取全流程闭环，语音控制小车完成任务</t>
  </si>
  <si>
    <t>方案3</t>
  </si>
  <si>
    <t>课程1：具身智能端到端平台与基础</t>
  </si>
  <si>
    <t>采训推平台硬件认知、主从同构双臂与遥操作原理、Linux/ROS2 基础、运动学与主从控制、机械臂标定、YOLO/ONNX 应用</t>
  </si>
  <si>
    <t>LZ-XL01课程：指导文件（00-15）+ 理论知识 PPT（C01-C07）</t>
  </si>
  <si>
    <t>掌握采训推双臂平台结构、主从遥操作与自检流程，能独立完成主机环境搭建、主从臂校准与平台一键启停</t>
  </si>
  <si>
    <t>课程2：双臂采训推全流程（ACT/VLA）</t>
  </si>
  <si>
    <t>遥操作数据采集 → LeRobot v3 数据转换 → ACT/VLA 模型训练 → 推理部署，端到端“采-训-推”闭环（含云服务器训练）</t>
  </si>
  <si>
    <t>LZ-XL01课程（10-13）+ 聆动课程（LDT-01 指导文档 00-04 / lerobot-0.4.1 / convert_lerobot_data.py）</t>
  </si>
  <si>
    <t>独立完成一次“数据采集→转换→训练→推理部署”闭环，跑通 ACT 与 VLA 模型在真机上的端到端复现</t>
  </si>
  <si>
    <t>课程3：物料分拣应用场景</t>
  </si>
  <si>
    <t>工厂分拣任务建模（抓-拿-放 / 左右臂分工）、场景布置与测量、双臂遥操作采集、训练与推理复现</t>
  </si>
  <si>
    <t>聆动课程-案例-工厂场景 + 案例视频-工厂分拣 + command/*.sh</t>
  </si>
  <si>
    <t>针对工厂分拣场景完成数据采集与模型训练，使双臂能自主完成零件分拣入格任务</t>
  </si>
  <si>
    <t>课程4：家庭整理应用场景</t>
  </si>
  <si>
    <t>家庭收纳任务建模（开盖-取物-入罐-盖盖）、双臂协同采集、ACT/VLA 复现与鲁棒性评估</t>
  </si>
  <si>
    <t>聆动课程-案例-家庭场景 + 案例视频-家庭收纳 + command/*.sh</t>
  </si>
  <si>
    <t>针对家庭收纳场景完成双臂协同数据采集与训练，使双臂能自主完成开盖-取物-入罐-盖盖闭环</t>
  </si>
  <si>
    <t>课程5：工业巡检应用场景（宇树）</t>
  </si>
  <si>
    <t>四足运动控制、3D 激光建图、AMCL 定位与 Nav2 自主导航、多点巡检编排、视觉巡检闭环与报告</t>
  </si>
  <si>
    <t>Unitree SDK / ROS2 Go2 驱动 + 四足无人巡检实训课程（ROS2→SLAM→Nav2→巡检编排）</t>
  </si>
  <si>
    <t>让宇树 Go2 Edu 完成建图、定位与多点自主巡检，识别巡检目标并生成报告，实现视觉巡检闭环</t>
  </si>
  <si>
    <t>整体课程教学计划（三套方案 · 按方案分块）</t>
  </si>
  <si>
    <t>课程</t>
  </si>
  <si>
    <t>环节</t>
  </si>
  <si>
    <t>时长/序号</t>
  </si>
  <si>
    <t>环节/实操任务</t>
  </si>
  <si>
    <t>内容要点 / 操作步骤与命令</t>
  </si>
  <si>
    <t>对应源码/文件</t>
  </si>
  <si>
    <t>关键命令/参数 或 预期现象</t>
  </si>
  <si>
    <t>验收标准</t>
  </si>
  <si>
    <t>易错点/提示</t>
  </si>
  <si>
    <t>方案1-具身智能核心课程</t>
  </si>
  <si>
    <t>课程1：机器人ROS2应用与开发（20 个实验）</t>
  </si>
  <si>
    <t>实验</t>
  </si>
  <si>
    <t>ROS2简介</t>
  </si>
  <si>
    <t>架构认知；启动 talker/listener 体验发布订阅；topic/node 命令监控</t>
  </si>
  <si>
    <t>demo_nodes_cpp</t>
  </si>
  <si>
    <t>ros2 run demo_nodes_cpp talker</t>
  </si>
  <si>
    <t>listener 收到 talker 消息</t>
  </si>
  <si>
    <t>需 source install/setup.bash</t>
  </si>
  <si>
    <t>ROS2常用命令工具</t>
  </si>
  <si>
    <t>node/topic/service/param/interface/bag 五组命令操作示例节点</t>
  </si>
  <si>
    <t>示例节点</t>
  </si>
  <si>
    <t>ros2 node list; ros2 topic echo</t>
  </si>
  <si>
    <t>五组命令输出符合对照表</t>
  </si>
  <si>
    <t>注意参数大小写与类型</t>
  </si>
  <si>
    <t>ROS2工作空间</t>
  </si>
  <si>
    <t>colcon 创建并编译工作空间；理解 underlay/overlay 层级</t>
  </si>
  <si>
    <t>新建工作空间</t>
  </si>
  <si>
    <t>colcon build; source install/setup.bash</t>
  </si>
  <si>
    <t>编译无报错，节点可运行</t>
  </si>
  <si>
    <t>先装 colcon 并对齐 Python</t>
  </si>
  <si>
    <t>ROS2功能包</t>
  </si>
  <si>
    <t>ros2 pkg create 创建功能包；package.xml/setup.py 字段与入口</t>
  </si>
  <si>
    <t>新建功能包</t>
  </si>
  <si>
    <t>ros2 pkg create --build-type ament_python &lt;pkg&gt;</t>
  </si>
  <si>
    <t>功能包可编译、可被 ros2 run</t>
  </si>
  <si>
    <t>入口须在 entry_points 注册</t>
  </si>
  <si>
    <t>ROS2节点</t>
  </si>
  <si>
    <t>sensor_nodes 包 Node 骨架+模拟传感器逻辑；节点生命周期</t>
  </si>
  <si>
    <t>sensor_nodes</t>
  </si>
  <si>
    <t>ros2 run sensor_nodes plant_node</t>
  </si>
  <si>
    <t>节点成功运行并发布数据</t>
  </si>
  <si>
    <t>rclpy 线程与 QoS 匹配</t>
  </si>
  <si>
    <t>话题通讯(MQ5)</t>
  </si>
  <si>
    <t>ros_sensor 包读 MQ5 浓度换算；gas_sensor_node 发布 + gas_monitor 订阅</t>
  </si>
  <si>
    <t>ros_sensor/gas_*</t>
  </si>
  <si>
    <t>ros2 topic echo /gas_sensor</t>
  </si>
  <si>
    <t>实时显示浓度并可按阈值报警</t>
  </si>
  <si>
    <t>配置好气体传感器 ADC 通道</t>
  </si>
  <si>
    <t>服务通讯(指纹)</t>
  </si>
  <si>
    <t>录入指纹；UART 协议层；fingerprint_server 服务端 + client 客户端</t>
  </si>
  <si>
    <t>ros_sensor/fingerprint_*</t>
  </si>
  <si>
    <t>ros2 service call /verify_fingerprint</t>
  </si>
  <si>
    <t>指纹校验返回成功/失败</t>
  </si>
  <si>
    <t>确认指纹模块串口占用</t>
  </si>
  <si>
    <t>动作通讯(RFID)</t>
  </si>
  <si>
    <t>rc522 SPI 驱动；rfid_action_server + rfid_action_client；超时/取消</t>
  </si>
  <si>
    <t>ros_sensor/rfid_action_*</t>
  </si>
  <si>
    <t>ros2 action send_goal /rfid_scan</t>
  </si>
  <si>
    <t>读卡动作成功并支持取消</t>
  </si>
  <si>
    <t>核对 SPI/GPIO 引脚接线</t>
  </si>
  <si>
    <t>自定义接口消息</t>
  </si>
  <si>
    <t>ros_sensor_interfaces 接口包；.msg/.srv/.action 定义与编译配置</t>
  </si>
  <si>
    <t>ros_sensor_interfaces</t>
  </si>
  <si>
    <t>ros2 interface list/message</t>
  </si>
  <si>
    <t>接口可被其他节点引用</t>
  </si>
  <si>
    <t>接口包须先编译再被引用</t>
  </si>
  <si>
    <t>参数服务案例</t>
  </si>
  <si>
    <t>参数系统架构；参数声明/读写；动态参数回调；ParameterDescriptor</t>
  </si>
  <si>
    <t>参数基础节点</t>
  </si>
  <si>
    <t>ros2 param get/set &lt;node&gt; &lt;p&gt;</t>
  </si>
  <si>
    <t>运行时可动态改参数生效</t>
  </si>
  <si>
    <t>set 未声明参数会告警</t>
  </si>
  <si>
    <t>时间相关API</t>
  </si>
  <si>
    <t>时间类型；create_timer 定时器；时间运算与端到端延迟测量；use_sim_time</t>
  </si>
  <si>
    <t>定时器节点</t>
  </si>
  <si>
    <t>ros2 topic echo /clock (sim)</t>
  </si>
  <si>
    <t>定时与延迟计算输出正确</t>
  </si>
  <si>
    <t>仿真时间需开启 /clock</t>
  </si>
  <si>
    <t>DDS</t>
  </si>
  <si>
    <t>RMW 层架构；切换 DDS 实现；RTPS/DDS 发现与 QoS 策略</t>
  </si>
  <si>
    <t>RMW 配置</t>
  </si>
  <si>
    <t>export RMW_IMPLEMENTATION=rmw_cyclonedds_cpp</t>
  </si>
  <si>
    <t>切换实现后通信正常</t>
  </si>
  <si>
    <t>节点间实现/域一致才互通</t>
  </si>
  <si>
    <t>分布式通讯</t>
  </si>
  <si>
    <t>ROS_DOMAIN_ID 域隔离；多机通信；ROS_DISCOVERY_SERVER 中心发现；DDS-Security</t>
  </si>
  <si>
    <t>多机配置</t>
  </si>
  <si>
    <t>export ROS_DOMAIN_ID=&lt;n&gt;</t>
  </si>
  <si>
    <t>跨域不可见、同域互通</t>
  </si>
  <si>
    <t>多机需同网段并配置发现</t>
  </si>
  <si>
    <t>Rqt工具箱</t>
  </si>
  <si>
    <t>rqt_graph 拓扑/plot 曲线/console 日志/reconfigure 调参、topic、bag</t>
  </si>
  <si>
    <t>被测系统</t>
  </si>
  <si>
    <t>rqt</t>
  </si>
  <si>
    <t>各插件正常显示并联动</t>
  </si>
  <si>
    <t>未建系统先启动 demo 节点</t>
  </si>
  <si>
    <t>Rviz2使用</t>
  </si>
  <si>
    <t>Fixed Frame 配置；TF/Grid/RobotModel/LaserScan/PointCloud2/Path/Marker 可视化</t>
  </si>
  <si>
    <t>Rviz2</t>
  </si>
  <si>
    <t>rviz2</t>
  </si>
  <si>
    <t>传感器/模型/轨迹正确显示</t>
  </si>
  <si>
    <t>Fixed Frame 须设 base_link</t>
  </si>
  <si>
    <t>录制回放工具</t>
  </si>
  <si>
    <t>ros2 bag record -a/info/play；选择性录制；回放与 Rviz 联合离线分析</t>
  </si>
  <si>
    <t>bag 录制</t>
  </si>
  <si>
    <t>ros2 bag record -a; ros2 bag play</t>
  </si>
  <si>
    <t>录制话题可回放恢复</t>
  </si>
  <si>
    <t>注意 bag 存储路径与磁盘</t>
  </si>
  <si>
    <t>Launch启动文件</t>
  </si>
  <si>
    <t>Launch 文件编写；Node 参数与 remap；LaunchConfiguration；条件与事件编排</t>
  </si>
  <si>
    <t>launch 文件</t>
  </si>
  <si>
    <t>ros2 launch &lt;pkg&gt; &lt;file&gt;.launch.py</t>
  </si>
  <si>
    <t>多节点按编排正确启动</t>
  </si>
  <si>
    <t>引号/转义与缩进严谨</t>
  </si>
  <si>
    <t>元功能包介绍</t>
  </si>
  <si>
    <t>元功能包概念；navigation2 聚合结构分析；创建自定义元功能包与依赖传递</t>
  </si>
  <si>
    <t>元功能包</t>
  </si>
  <si>
    <t>ros2 pkg create &lt;meta&gt;</t>
  </si>
  <si>
    <t>创建后依赖链可传递解析</t>
  </si>
  <si>
    <t>元功能包不含可执行节点</t>
  </si>
  <si>
    <t>TF2坐标变换</t>
  </si>
  <si>
    <t>变换树概念；静态/动态 TF 发布；view_frames 可视化；编程查询相对位姿</t>
  </si>
  <si>
    <t>TF2 节点</t>
  </si>
  <si>
    <t>ros2 run tf2_ros static_transform_publisher</t>
  </si>
  <si>
    <t>生成完整 TF 树、坐标查询正确</t>
  </si>
  <si>
    <t>TF 树须无断裂、frame 统一</t>
  </si>
  <si>
    <t>URDF模型</t>
  </si>
  <si>
    <t>URDF link/joint 设计；底盘模型；Rviz 加载；Xacro 参数化重构</t>
  </si>
  <si>
    <t>URDF/Xacro</t>
  </si>
  <si>
    <t>urdf_to_graphiz; rviz2</t>
  </si>
  <si>
    <t>模型正确显示、Xacro 可解析</t>
  </si>
  <si>
    <t>joint 方向/原点须成对对称</t>
  </si>
  <si>
    <t>课程2：机器人视觉应用与开发（12 个实验）</t>
  </si>
  <si>
    <t>YOLOv8缺陷检测</t>
  </si>
  <si>
    <t>ONNX→RKNN 转换；单图/视频推理；NPU 部署；eval_map 评估</t>
  </si>
  <si>
    <t>vision/01_industrial_defect_detection</t>
  </si>
  <si>
    <t>python src/app.py --model models/defect_yolov8n_int8.rknn --image/--video</t>
  </si>
  <si>
    <t>实时检出缺陷类别与置信度</t>
  </si>
  <si>
    <t>转换需 RMS/量化 校准数据集</t>
  </si>
  <si>
    <t>垃圾分类</t>
  </si>
  <si>
    <t>20 类垃圾模型推理；NPU 多线程(tpes)；目标计数</t>
  </si>
  <si>
    <t>vision/02_garbage_classification</t>
  </si>
  <si>
    <t>python src/app.py --video test.mp4 --tpes N; --ros</t>
  </si>
  <si>
    <t>准确分类并计数</t>
  </si>
  <si>
    <t>推理线程数与内存适配</t>
  </si>
  <si>
    <t>HSV颜色识别</t>
  </si>
  <si>
    <t>色彩空间阈值掩膜；调参 --tune；实时标注</t>
  </si>
  <si>
    <t>vision/03_lab_color_recognition</t>
  </si>
  <si>
    <t>python src/app.py --image ...; --tune 红色 --ros</t>
  </si>
  <si>
    <t>三种颜色准确识别</t>
  </si>
  <si>
    <t>光线变化需重标定</t>
  </si>
  <si>
    <t>二维码识别</t>
  </si>
  <si>
    <t>QR 生成/检测；内容解码；中文与指令二维码</t>
  </si>
  <si>
    <t>vision/04_qrcode</t>
  </si>
  <si>
    <t>python src/app.py --generate/--detect</t>
  </si>
  <si>
    <t>正确解码内容与指令</t>
  </si>
  <si>
    <t>相机对焦清晰</t>
  </si>
  <si>
    <t>多边形轮廓拟合</t>
  </si>
  <si>
    <t>OpenCV 边缘/轮廓提取；多边形近似；车道/目标拟合</t>
  </si>
  <si>
    <t>vision/05_line_following</t>
  </si>
  <si>
    <t>python src/app.py --detect --ros</t>
  </si>
  <si>
    <t>轮廓与多边形正确拟合</t>
  </si>
  <si>
    <t>阈值与形态学参数</t>
  </si>
  <si>
    <t>语义分割</t>
  </si>
  <si>
    <t>背景分割；城市街景 pixev；(语义/实例)遮罩输出</t>
  </si>
  <si>
    <t>vision/06_semantic_segmentation</t>
  </si>
  <si>
    <t>python src/app.py --image/--video</t>
  </si>
  <si>
    <t>前景背景分离正确</t>
  </si>
  <si>
    <t>模型输入尺寸统一</t>
  </si>
  <si>
    <t>DeepSORT多目标跟踪</t>
  </si>
  <si>
    <t>卡尔曼+ReID 轨迹关联；ID 稳定；遮挡恢复；目标计数</t>
  </si>
  <si>
    <t>vision/07_multi_object_tracking</t>
  </si>
  <si>
    <t>python src/app.py --video test.mp4; --ros</t>
  </si>
  <si>
    <t>跨帧 ID 稳定、遮挡恢复</t>
  </si>
  <si>
    <t>小框阈值与最大 age</t>
  </si>
  <si>
    <t>深度3D检测</t>
  </si>
  <si>
    <t>RGB+深度双栏；点击读毫米深度；3D 反投影到相机系</t>
  </si>
  <si>
    <t>vision/08_depth_3d_detection</t>
  </si>
  <si>
    <t>ros2 launch car1_peripherals depth_camera.launch.py; python src/app.py --config depth3d_config.yaml</t>
  </si>
  <si>
    <t>深度信息准确、3D坐标正确</t>
  </si>
  <si>
    <t>确认深度话题与内参</t>
  </si>
  <si>
    <t>人脸关键点检测</t>
  </si>
  <si>
    <t>人脸检测+68 关键点；丰唇/换脸/贴图等应用</t>
  </si>
  <si>
    <t>vision/09_face_landmarks</t>
  </si>
  <si>
    <t>ros2 launch ascamera hp60c.launch.py; python app.py</t>
  </si>
  <si>
    <t>关键点稳定跟随人脸</t>
  </si>
  <si>
    <t>人脸角度/遮挡鲁棒性</t>
  </si>
  <si>
    <t>骨骼关键点检测</t>
  </si>
  <si>
    <t>姿态估计多关键点；单人/多人；动作骨架可视化</t>
  </si>
  <si>
    <t>vision/10_pose_landmark</t>
  </si>
  <si>
    <t>骨架贴合人体</t>
  </si>
  <si>
    <t>多人场景需配置</t>
  </si>
  <si>
    <t>肢体动作体感控制</t>
  </si>
  <si>
    <t>pose→cmd_vel；体感控制小海龟/话题监控</t>
  </si>
  <si>
    <t>vision/11_pose_control; car1_pose_control</t>
  </si>
  <si>
    <t>colcon build --packages-select car1_pose_control; ros2 launch pose_control; ros2 topic echo /turtle1/cmd_vel</t>
  </si>
  <si>
    <t>手势→指令映射正确</t>
  </si>
  <si>
    <t>动作阈值与平滑</t>
  </si>
  <si>
    <t>手指动作控制</t>
  </si>
  <si>
    <t>手部关键点→控制信号；手指个数/手势识别</t>
  </si>
  <si>
    <t>vision/12_hand_control</t>
  </si>
  <si>
    <t>ros2 launch ascamera hp60c.launch.py; 启动控制节点</t>
  </si>
  <si>
    <t>手势识别并触发控制</t>
  </si>
  <si>
    <t>光照与手心朝向</t>
  </si>
  <si>
    <t>课程3：机器人自然语言交互应用（6 个实验）</t>
  </si>
  <si>
    <t>六麦阵列唤醒</t>
  </si>
  <si>
    <t>USB 权限；串口通信；GUI 环形阵列与方向；防抖</t>
  </si>
  <si>
    <t>car1_speech/tools/</t>
  </si>
  <si>
    <t>sudo chmod 666 /dev/ttyACM0; python3 xf_mic_array_gui.py</t>
  </si>
  <si>
    <t>唤醒事件触发、方向显示</t>
  </si>
  <si>
    <t>确认 ACM 设备号</t>
  </si>
  <si>
    <t>本地流式ASR</t>
  </si>
  <si>
    <t>sherpa-onnx 语音识别；录音/播放；音频增益(alc/PGA)、解码方法、静音尾、热词</t>
  </si>
  <si>
    <t>python3 audio_test.py --mic-array; python3 asr_test.py --mic-array --wakeup-words '小飞小飞'</t>
  </si>
  <si>
    <t>准确转写、热词生效</t>
  </si>
  <si>
    <t>麦克风增益标定防削波</t>
  </si>
  <si>
    <t>本地语音合成</t>
  </si>
  <si>
    <t>Matcha-TTS+Vocos 合成；播放验证；音量/多线程/保存</t>
  </si>
  <si>
    <t>python3 tts_test.py --text '...' --playback-volume/--num-threads/-o</t>
  </si>
  <si>
    <t>语音清晰、可调参、保存正确</t>
  </si>
  <si>
    <t>采样率与后端模型匹配</t>
  </si>
  <si>
    <t>大模型对话交互</t>
  </si>
  <si>
    <t>llm_server 对话服务；语义理解；端到端文本对话</t>
  </si>
  <si>
    <t>car1_llm/tools; car1_interaction/tools</t>
  </si>
  <si>
    <t>python3 llm_server.py; python3 voice_interaction.py</t>
  </si>
  <si>
    <t>多轮对话符合意图</t>
  </si>
  <si>
    <t>LLM 服务需先启动</t>
  </si>
  <si>
    <t>语音+工具调用</t>
  </si>
  <si>
    <t>意图→工具调用；[SKILL] 技能；打断；语音闭环操控</t>
  </si>
  <si>
    <t>car1_interaction/tools</t>
  </si>
  <si>
    <t>python3 voice_tools_interaction.py --mic-array; --no-server</t>
  </si>
  <si>
    <t>语音指令触发工具动作</t>
  </si>
  <si>
    <t>工具参数与意图对齐</t>
  </si>
  <si>
    <t>多模态VLM</t>
  </si>
  <si>
    <t>相机发布；多模态模型描述图像；视觉+语音综合问答</t>
  </si>
  <si>
    <t>car1_multi_interaction</t>
  </si>
  <si>
    <t>ros2 run car1_multi_interaction multi_interaction_node --mic-array; ros2 topic hz /ascamera_hp60c/rgb/image_raw</t>
  </si>
  <si>
    <t>看图问答正确</t>
  </si>
  <si>
    <t>相机话题频率正常</t>
  </si>
  <si>
    <t>课程4：机器人SLAM与自主导航（7 个实验）</t>
  </si>
  <si>
    <t>SLAM原理与URDF</t>
  </si>
  <si>
    <t>同时定位与建图原理；占据栅格地图；URDF/Xacro 小车建模；view_frames</t>
  </si>
  <si>
    <t>car1_description</t>
  </si>
  <si>
    <t>ros2 launch car1_description display.launch.py; ros2 run tf2_tools view_frames</t>
  </si>
  <si>
    <t>模型显示、TF树完整</t>
  </si>
  <si>
    <t>Fixed Frame 设 base_link</t>
  </si>
  <si>
    <t>SLAM_Toolbox建图</t>
  </si>
  <si>
    <t>SLAM_Toolbox 激光建图；遥控遍历；地图生成与保存(map_saver)</t>
  </si>
  <si>
    <t>car1_slam</t>
  </si>
  <si>
    <t>ros2 launch car1_slam slam.launch.py; ros2 run car1_slam slam_teleop; map_saver_cli</t>
  </si>
  <si>
    <t>得到可用栅格地图</t>
  </si>
  <si>
    <t>缓慢行驶防丢角</t>
  </si>
  <si>
    <t>Nav2自主导航</t>
  </si>
  <si>
    <t>Nav2 代价地图/规划器/行为树；navigate_to_pose；生命周期 active；地图加载</t>
  </si>
  <si>
    <t>car1_navigation</t>
  </si>
  <si>
    <t>ros2 launch car1_navigation navigation.launch.py map:=slam_map; ros2 action send_goal /navigate_to_pose</t>
  </si>
  <si>
    <t>自主到达目标点</t>
  </si>
  <si>
    <t>规划/控制服务器 active</t>
  </si>
  <si>
    <t>AMCL定位</t>
  </si>
  <si>
    <t>自适应蒙特卡罗定位；初始位姿估计；粒子收敛与定位误差</t>
  </si>
  <si>
    <t>2D Pose Estimate；观察粒子; ros2 topic echo /amcl_pose</t>
  </si>
  <si>
    <t>粒子收敛于真实位姿</t>
  </si>
  <si>
    <t>全局定位需重初始化</t>
  </si>
  <si>
    <t>局部规划与避障</t>
  </si>
  <si>
    <t>DWA/TEB 局部规划对比；代价地图；动态避障</t>
  </si>
  <si>
    <t>配置控制器；动态障碍物测试</t>
  </si>
  <si>
    <t>路径平滑、避障成功</t>
  </si>
  <si>
    <t>局部代价地图参数</t>
  </si>
  <si>
    <t>单点/多点导航</t>
  </si>
  <si>
    <t>NavigateToPose / NavigateThroughPoses 动作；避障路径</t>
  </si>
  <si>
    <t>ros2 action send_goal /navigate_through_poses</t>
  </si>
  <si>
    <t>单点/多点均完成导航</t>
  </si>
  <si>
    <t>多目标点顺序与安全</t>
  </si>
  <si>
    <t>RTAB-Map三维SLAM</t>
  </si>
  <si>
    <t>RGB-D 建图；视觉+激光融合；无缝导航与地图复用</t>
  </si>
  <si>
    <t>car1_realsense/rtabmap</t>
  </si>
  <si>
    <t>ros2 run rtabmap_slam rtabmap --ros-args subscribe_rgbd:=true; ros2 topic hz /camera/*</t>
  </si>
  <si>
    <t>三维地图与导航可用</t>
  </si>
  <si>
    <t>深度图频率与内参</t>
  </si>
  <si>
    <t>课程5：机器人机械臂应用与开发（7 个实验）</t>
  </si>
  <si>
    <t>URDF仿真运动控制</t>
  </si>
  <si>
    <t>car1 URDF/graphiz；display.launch；MoveIt2 demo；Gazebo 仿真+ros2_control</t>
  </si>
  <si>
    <t>car1_description; car1_moveit_config; car1_gazebo</t>
  </si>
  <si>
    <t>urdf_to_graphiz; ros2 launch car1_moveit_config demo.launch.py; ros2 launch car1_gazebo gazebo_arm.launch.py</t>
  </si>
  <si>
    <t>关节可控、规划成功</t>
  </si>
  <si>
    <t>Gazebo 物理下垂属正常</t>
  </si>
  <si>
    <t>底层协议与控制</t>
  </si>
  <si>
    <t>1Mbps 串口+CRC8；PWM 500-2500；交互式逐关节调试；防堵转软检</t>
  </si>
  <si>
    <t>car1_arm_controller/test</t>
  </si>
  <si>
    <t>python3 test_servo_direct.py</t>
  </si>
  <si>
    <t>软检全部通过</t>
  </si>
  <si>
    <t>先软检后实机(强制)</t>
  </si>
  <si>
    <t>ROS2架构与动作回放</t>
  </si>
  <si>
    <t>bringup+arm_controller 节点；话题/服务/动作；action_player 回放 YAML</t>
  </si>
  <si>
    <t>car1_bringup; car1_arm_controller</t>
  </si>
  <si>
    <t>ros2 launch car1_bringup bringup.launch.py; ros2 launch car1_arm_controller arm_controller.launch.py; ros2 run car1_arm_controller action_player</t>
  </si>
  <si>
    <t>节点正常、动作回放执行</t>
  </si>
  <si>
    <t>先 bringup 后 arm_controller</t>
  </si>
  <si>
    <t>运动学控制原理</t>
  </si>
  <si>
    <t>FK 正运动学；DH 参数；web 仿真器 3D 演示；joint→末端位姿</t>
  </si>
  <si>
    <t>car1_web_server</t>
  </si>
  <si>
    <t>python3 server_cors.py</t>
  </si>
  <si>
    <t>正解得末端位姿</t>
  </si>
  <si>
    <t>单位(rad/mm)一致</t>
  </si>
  <si>
    <t>IK解算</t>
  </si>
  <si>
    <t>IK 逆解；交互式 IK 求解；FK 精度验证误差&lt;1.5mm；pwm_to_fk</t>
  </si>
  <si>
    <t>arm/kinematics</t>
  </si>
  <si>
    <t>python3 interactive_ik_test.py --direct; python3 -m pytest test_kinematics.py -v; python3 pwm_to_fk_demo.py</t>
  </si>
  <si>
    <t>FK误差&lt;1.5mm、IK解得正确角度</t>
  </si>
  <si>
    <t>先核对PWM区间再下发</t>
  </si>
  <si>
    <t>IK固定抓取</t>
  </si>
  <si>
    <t>set_pick_target/pick/place；gripper_depth/pre_grasp_height/grasp_pitch；固定位姿抓取</t>
  </si>
  <si>
    <t>car1_arm_controller</t>
  </si>
  <si>
    <t>ros2 topic pub --once /arm_controller/set_pick_target; ros2 service call /arm_controller/pick; /place</t>
  </si>
  <si>
    <t>抓取-放置一次成功</t>
  </si>
  <si>
    <t>目标物&gt;0.5m避盲区</t>
  </si>
  <si>
    <t>视觉动态抓取</t>
  </si>
  <si>
    <t>相机+HSV 目标识别；TF 变换到机械臂；visual_grasp 抓取闭环；start/confirm</t>
  </si>
  <si>
    <t>car1_app; car1_peripherals</t>
  </si>
  <si>
    <t>ros2 launch car1_peripherals depth_camera.launch.py; ros2 launch car1_app visual_grasp.launch.py; ros2 service call /visual_grasp/start</t>
  </si>
  <si>
    <t>识别并抓取红色方块一次成功</t>
  </si>
  <si>
    <t>wait_for_confirmation 依据场景</t>
  </si>
  <si>
    <t>课程6：机器人大模型综合应用（9 个实验）</t>
  </si>
  <si>
    <t>需求分析</t>
  </si>
  <si>
    <t>具身智能工厂 R1-R10 需求；五类角色；装货/分拣/码垛场景</t>
  </si>
  <si>
    <t>app/eai_factory/docs</t>
  </si>
  <si>
    <t>阅读 docs/01 需求总览</t>
  </si>
  <si>
    <t>完成需求清单与用例</t>
  </si>
  <si>
    <t>纯文档无硬件</t>
  </si>
  <si>
    <t>系统架构设计</t>
  </si>
  <si>
    <t>五节点架构(N1语音/N2调度/视觉/抓取/流水线/安全)；数据流与模块划分</t>
  </si>
  <si>
    <t>app/eai_factory</t>
  </si>
  <si>
    <t>阅读 docs/02 架构设计</t>
  </si>
  <si>
    <t>绘制架构与数据流图</t>
  </si>
  <si>
    <t>节点职责清晰</t>
  </si>
  <si>
    <t>接口功能设计</t>
  </si>
  <si>
    <t>A/C/D/E/F 系列接口；intent/speak/interrupt 话题与服务；start_load 等</t>
  </si>
  <si>
    <t>ros2 launch eai_factory eai_factory.launch.py start_voice:=false; ros2 node/topic/service list; ros2 service call /eai_factory/start_load</t>
  </si>
  <si>
    <t>接口清单与手动触发正确</t>
  </si>
  <si>
    <t>Trigger 空请求</t>
  </si>
  <si>
    <t>语音交互集成</t>
  </si>
  <si>
    <t>N1 语音节点意图发布/打断；N2 调度；speak 播报闭环</t>
  </si>
  <si>
    <t>eai_factory(voice+scheduler)</t>
  </si>
  <si>
    <t>ros2 launch eai_factory ... start_base:=false; ros2 topic echo /eai_factory/intent /interrupt /speak</t>
  </si>
  <si>
    <t>意图→播报闭环</t>
  </si>
  <si>
    <t>语音节点需 venv</t>
  </si>
  <si>
    <t>视觉自适应装货</t>
  </si>
  <si>
    <t>视觉识别货品→抓取装货；detected/target 话题；grasp.pick_offset_y 调参</t>
  </si>
  <si>
    <t>eai_factory(voice+vision+grasp)</t>
  </si>
  <si>
    <t>ros2 launch eai_factory start_voice:=false; ros2 service call /eai_factory/start_load; ros2 param set grasp.pick_offset_y</t>
  </si>
  <si>
    <t>装货流程自动执行</t>
  </si>
  <si>
    <t>视觉目标稳定性</t>
  </si>
  <si>
    <t>分拣集成测试</t>
  </si>
  <si>
    <t>start_sort 分拣；依据类别放至对应位置；lift_height 调参</t>
  </si>
  <si>
    <t>eai_factory(grasp)</t>
  </si>
  <si>
    <t>ros2 service call /eai_factory/start_sort; ros2 param set grasp.lift_height</t>
  </si>
  <si>
    <t>按类分拣正确</t>
  </si>
  <si>
    <t>类别判定准确</t>
  </si>
  <si>
    <t>码垛集成测试</t>
  </si>
  <si>
    <t>传送带 GPIO；conveyor run/stop/emergency；码垛编排；光电传感器</t>
  </si>
  <si>
    <t>eai_factory(conveyor+grasp+scheduler)</t>
  </si>
  <si>
    <t>sudo bash setup_conveyor_gpio.sh; ros2 launch eai_factory start_vision:=false start_grasp:=true; ros2 service call /eai_factory/start_palletize</t>
  </si>
  <si>
    <t>码垛完成、急停生效</t>
  </si>
  <si>
    <t>GPIO 权限与传感器</t>
  </si>
  <si>
    <t>危险急停</t>
  </si>
  <si>
    <t>激光雷达危险扇区→safety 节点→释放舵机力矩；danger 话题；急停/恢复</t>
  </si>
  <si>
    <t>eai_factory(safety)</t>
  </si>
  <si>
    <t>ros2 launch eai_factory start_voice:=false start_vision:=false start_grasp:=false; ros2 topic echo /eai_factory/safety/danger; 触发雷达危险</t>
  </si>
  <si>
    <t>安全联锁生效、可恢复</t>
  </si>
  <si>
    <t>确认安全位置再释放</t>
  </si>
  <si>
    <t>全功能快速验证</t>
  </si>
  <si>
    <t>一键启动；装货/分拣/码垛全链路+完成播报；服务与语音双触发</t>
  </si>
  <si>
    <t>ros2 launch eai_factory eai_factory.launch.py; ros2 service call /eai_factory/start_load/start_sort/start_palletize</t>
  </si>
  <si>
    <t>全流程闭环一次完成</t>
  </si>
  <si>
    <t>按需关节点省内存</t>
  </si>
  <si>
    <t>方案2-智慧工厂&amp;智慧交</t>
  </si>
  <si>
    <t>课程1：机器人建图与导航</t>
  </si>
  <si>
    <t>课程1</t>
  </si>
  <si>
    <t>方案2-智慧工厂&amp;智慧交通场</t>
  </si>
  <si>
    <t>理论</t>
  </si>
  <si>
    <t>—</t>
  </si>
  <si>
    <t>地图与坐标系</t>
  </si>
  <si>
    <t>map/odom/base_link/base_footprint 坐标系、TF2 树、URDF 与 robot_state_publisher</t>
  </si>
  <si>
    <t>bringup 的 robot_state_publisher</t>
  </si>
  <si>
    <t>ros2 run tf2_tools view_frames</t>
  </si>
  <si>
    <t>AMCL 定位</t>
  </si>
  <si>
    <t>粒子滤波定位原理、初始位姿设置、定位收敛判据</t>
  </si>
  <si>
    <t>car1_navigation/params/amcl.yaml</t>
  </si>
  <si>
    <t>RViz 2D Pose Estimate</t>
  </si>
  <si>
    <t>Nav2 路径规划</t>
  </si>
  <si>
    <t>全局/局部代价地图、全局/局部规划器、行为树导航流程</t>
  </si>
  <si>
    <t>car1_navigation/launch/navigation.launch.py</t>
  </si>
  <si>
    <t>ros2 launch car1_navigation navigation.launch.py map:=slam_map</t>
  </si>
  <si>
    <t>实践</t>
  </si>
  <si>
    <t>环境自检与建图</t>
  </si>
  <si>
    <t>确认雷达话题；运行 slam.launch.py 建图；手动遥控遍历环境</t>
  </si>
  <si>
    <t>RViz 逐步生成栅格地图，闭合回路</t>
  </si>
  <si>
    <t>生成可用 slam_map 地图</t>
  </si>
  <si>
    <t>遥控缓慢行驶，避免雷达视角丢失</t>
  </si>
  <si>
    <t>保存并检查地图</t>
  </si>
  <si>
    <t>建图后保存 slam_map.yaml；RViz 检查地图质量</t>
  </si>
  <si>
    <t>地图文件生成，无大面积空洞</t>
  </si>
  <si>
    <t>地图命名 slam_map 且可加载</t>
  </si>
  <si>
    <t>回环后保存质量更好</t>
  </si>
  <si>
    <t>启动导航设初始位姿</t>
  </si>
  <si>
    <t>运行 navigation.launch.py map:=slam_map；用 2D Pose Estimate 设初始位姿</t>
  </si>
  <si>
    <t>AMCL 收敛，粒子集中在真实位姿</t>
  </si>
  <si>
    <t>初始位姿与实物一致</t>
  </si>
  <si>
    <t>触发任务前必设初始位姿</t>
  </si>
  <si>
    <t>目标点导航验收</t>
  </si>
  <si>
    <t>用 2D Goal Pose 发布目标点，观察自主导航</t>
  </si>
  <si>
    <t>小车按规划路径自主到达</t>
  </si>
  <si>
    <t>到达目标，无卡死/超时</t>
  </si>
  <si>
    <t>配合综合应用为进阶</t>
  </si>
  <si>
    <t>课程2：机器人视觉与抓取</t>
  </si>
  <si>
    <t>课程2</t>
  </si>
  <si>
    <t>HSV 目标识别</t>
  </si>
  <si>
    <t>颜色空间（HSV vs RGB）、红色双区间阈值、掩膜提取与像素统计</t>
  </si>
  <si>
    <t>visual_grasp 颜色检测</t>
  </si>
  <si>
    <t>HSV [0,100,80]~[15,255,255] + [160,100,80]~[180,255,255]</t>
  </si>
  <si>
    <t>平面投影</t>
  </si>
  <si>
    <t>相机近盲区规避：RGB 像素射线与桌面平面求交得 3D 坐标（不读深度图）</t>
  </si>
  <si>
    <t>navigation_grasp_transport 的 plane-project</t>
  </si>
  <si>
    <t>object_height / table_height</t>
  </si>
  <si>
    <t>机械臂视觉抓取</t>
  </si>
  <si>
    <t>set_pick_target/pick/place/go_home 服务模型、夹爪抓-放控制</t>
  </si>
  <si>
    <t>夹爪朝下 180° 四元数 x:0 y:1 z:0 w:0</t>
  </si>
  <si>
    <t>机械臂防堵转软检</t>
  </si>
  <si>
    <t>在 test 目录执行 python3 test_servo_direct.py 验证 PWM</t>
  </si>
  <si>
    <t>PWM 输出正常，无堵转异常</t>
  </si>
  <si>
    <t>强制项，防止堵转损坏设备</t>
  </si>
  <si>
    <t>深度相机与图像观察</t>
  </si>
  <si>
    <t>运行 depth_camera.launch.py，查看 RGB/深度话题</t>
  </si>
  <si>
    <t>RGB 与深度图正常发布</t>
  </si>
  <si>
    <t>图像清晰、无空值</t>
  </si>
  <si>
    <t>确认 /ascamera_hp60c/** 话题</t>
  </si>
  <si>
    <t>HSV 检测调优</t>
  </si>
  <si>
    <t>调整 HSV 上下阈值，使红色目标物掩膜稳定达标</t>
  </si>
  <si>
    <t>掩膜清晰，无背景误检</t>
  </si>
  <si>
    <t>像素量达识别阈值</t>
  </si>
  <si>
    <t>光线变化需重新标定</t>
  </si>
  <si>
    <t>视觉抓取与放置验收</t>
  </si>
  <si>
    <t>调用 /visual_grasp/start 触发视觉抓取，校验抓放结果</t>
  </si>
  <si>
    <t>识别并抓取红色方块，放置到位</t>
  </si>
  <si>
    <t>一次抓取-放置成功</t>
  </si>
  <si>
    <t>抓取前再确认软检与安全区</t>
  </si>
  <si>
    <t>课程3：机器人离线大模型语音交互</t>
  </si>
  <si>
    <t>课程3</t>
  </si>
  <si>
    <t>语音唤醒与识别</t>
  </si>
  <si>
    <t>唤醒词检测（Porcupine/Snowboy）、ASR 引擎、话题 /interaction/wake_word/detected、/interaction/asr/text</t>
  </si>
  <si>
    <t>car1_speech/wake_word_node.py、asr_node.py</t>
  </si>
  <si>
    <t>ros2 launch car1_speech speech.launch.py</t>
  </si>
  <si>
    <t>离线大模型对话与意图</t>
  </si>
  <si>
    <t>大模型理解意图并生成技能标记 [SKILL:name|param:val]，支持本地 Ollama；chat_node 对话管理</t>
  </si>
  <si>
    <t>car1_llm/chat_node.py、config/llm.yaml</t>
  </si>
  <si>
    <t>ros2 launch car1_llm llm.launch.py</t>
  </si>
  <si>
    <t>技能执行</t>
  </si>
  <si>
    <t>skill_executor 解析技能标记，调用 ROS 服务/动作（navigate_to/grasp_object/transport）</t>
  </si>
  <si>
    <t>car1_llm/skill_executor.py、skills.yaml</t>
  </si>
  <si>
    <t>skills.yaml 技能映射</t>
  </si>
  <si>
    <t>唤醒词测试</t>
  </si>
  <si>
    <t>运行 speech.launch.py，朗读唤醒词，观察唤醒事件</t>
  </si>
  <si>
    <t>唤醒话题触发，状态切换</t>
  </si>
  <si>
    <t>唤醒成功响应</t>
  </si>
  <si>
    <t>唤醒词配置在 wake_word.yaml</t>
  </si>
  <si>
    <t>ASR 识别测试</t>
  </si>
  <si>
    <t>唤醒后说出命令语句，观察识别文本</t>
  </si>
  <si>
    <t>识别文本准确输出</t>
  </si>
  <si>
    <t>识别内容与所说一致</t>
  </si>
  <si>
    <t>真实 ASR 在 wake_word_node 内</t>
  </si>
  <si>
    <t>TTS 合成测试</t>
  </si>
  <si>
    <t>向 /interaction/tts/speak 发布文本，听喇叭合成语音</t>
  </si>
  <si>
    <t>喇叭播放合成语音</t>
  </si>
  <si>
    <t>播放清晰可辨</t>
  </si>
  <si>
    <t>音量适中，避免啸叫</t>
  </si>
  <si>
    <t>大模型意图+技能执行验收</t>
  </si>
  <si>
    <t>运行 full_interaction.launch.py，说"导航到厨房"，观察 chat_node 回复与 skill_executor 调用</t>
  </si>
  <si>
    <t>大模型识别意图并触发技能标记</t>
  </si>
  <si>
    <t>技能被正确执行</t>
  </si>
  <si>
    <t>需配置 LLM API / 本地模型</t>
  </si>
  <si>
    <t>课程4：机器人语音控制机器人导航抓取综合应用</t>
  </si>
  <si>
    <t>课程4</t>
  </si>
  <si>
    <t>任务状态机</t>
  </si>
  <si>
    <t>9 状态：IDLE→SET_INITIAL_POSE→WAIT_LOCALIZATION→NAV_TO_PICK→ROTATE_SEARCH→DETECT_AND_GRASP→WAIT_GRASP→NAV_TO_PLACE→PLACE_OBJECT→DONE→IDLE</t>
  </si>
  <si>
    <t>car1_app/navigation_grasp_transport.py</t>
  </si>
  <si>
    <t>观察状态日志</t>
  </si>
  <si>
    <t>关键技术</t>
  </si>
  <si>
    <t>闭环旋转搜索（读偏航角做 P 控制）、平面投影避盲区、检测重复取末次防臂未停稳、超时管理</t>
  </si>
  <si>
    <t>yaml search_*/detection_*/nav_timeout</t>
  </si>
  <si>
    <t>search_angles_deg ±15/30/45°</t>
  </si>
  <si>
    <t>语音与大模型接入</t>
  </si>
  <si>
    <t>语音指令→大模型意图识别→触发导航抓取任务</t>
  </si>
  <si>
    <t>car1_speech + car1_llm + eai_factory</t>
  </si>
  <si>
    <t>意图触发 transport 任务</t>
  </si>
  <si>
    <t>二期待开发</t>
  </si>
  <si>
    <t>综合安全预检</t>
  </si>
  <si>
    <t>执行机械臂软检 + 场地清障 + 放置红色目标物</t>
  </si>
  <si>
    <t>安全就绪</t>
  </si>
  <si>
    <t>全项通过</t>
  </si>
  <si>
    <t>强制项</t>
  </si>
  <si>
    <t>一键启动与触发</t>
  </si>
  <si>
    <t>终端1：ros2 launch car1_app navigation_grasp_transport.launch.py
终端2：ros2 service call /navigation_grasp_transport/start std_srvs/srv/Trigger "{}"</t>
  </si>
  <si>
    <t>状态机按序推进，执行导航/搜索/抓取/搬运/归位</t>
  </si>
  <si>
    <t>完整跑通一次</t>
  </si>
  <si>
    <t>主节点 t+15s 后触发</t>
  </si>
  <si>
    <t>参数调优</t>
  </si>
  <si>
    <t>调整 search_angles_deg / HSV 阈值 / detection_repeat_count，重跑观察成功率</t>
  </si>
  <si>
    <t>参数生效，成功率可量化</t>
  </si>
  <si>
    <t>至少 1 项调优并记录</t>
  </si>
  <si>
    <t>改参数需重启节点</t>
  </si>
  <si>
    <t>语音驱动综合验收</t>
  </si>
  <si>
    <t>用语音指令触发完整抓取-搬运闭环（大模型意图→导航→抓取）</t>
  </si>
  <si>
    <t>语音指令驱动整条任务链</t>
  </si>
  <si>
    <t>语音控制完成闭环</t>
  </si>
  <si>
    <t>结合课程3语音链路</t>
  </si>
  <si>
    <t>方案3-具身智能端到端行</t>
  </si>
  <si>
    <t>课程1：具身智能端到端平台与基础（LZ-XL01）</t>
  </si>
  <si>
    <t>方案3-具身智能端到端行业应</t>
  </si>
  <si>
    <t>平台硬件认知与安全</t>
  </si>
  <si>
    <t>LDT-01 / LZ-XL01 采训推平台定位、7自由度主从同构双臂、4×RGB 相机（3用1备）、谐波关节与夹爪；安全交底与急停</t>
  </si>
  <si>
    <t>LZ-XL01/01-机器人硬件介绍.pdf、00-主机环境搭建.pdf</t>
  </si>
  <si>
    <t>遥操作被动端急停开关（脚踹）</t>
  </si>
  <si>
    <t>主从双臂与遥操作原理</t>
  </si>
  <si>
    <t>主臂(Leader/总线舵机)驱动从臂(Follower/谐波关节)的同构双臂系、重力补偿、夹爪映射</t>
  </si>
  <si>
    <t>LZ-XL01/05-主从臂校准.pdf、06-单臂遥操作.pdf、07-双臂遥操作.pdf</t>
  </si>
  <si>
    <t>localhost:8699/#/robotManage 掩码平台</t>
  </si>
  <si>
    <t>运动学与主从控制</t>
  </si>
  <si>
    <t>双臂正/逆运动学、关节映射与跟随、末端夹爪行程控制</t>
  </si>
  <si>
    <t>LZ-XL01/理论知识/C06_运动学与主从控制.pptx</t>
  </si>
  <si>
    <t>7轴拟人双臂运动学建模</t>
  </si>
  <si>
    <t>1</t>
  </si>
  <si>
    <t>主机环境搭建</t>
  </si>
  <si>
    <t>Ubuntu 22.04 + ROS2 安装、镜像源加速、SSH/显示器连接主机、验证 GPU</t>
  </si>
  <si>
    <t>LZ-XL01/00-主机环境搭建.pdf（ipynb）</t>
  </si>
  <si>
    <t>nvidia-smi / ros2 --version</t>
  </si>
  <si>
    <t>环境可用、GPU 识别</t>
  </si>
  <si>
    <t>conda/PyTorch 版本匹配（python3.10）</t>
  </si>
  <si>
    <t>2</t>
  </si>
  <si>
    <t>机械臂串口与摄像头</t>
  </si>
  <si>
    <t>机械臂串口识别、4 路相机枚举（头部/左腕/右腕/备用）、图像预览</t>
  </si>
  <si>
    <t>LZ-XL01/03-机械臂串口.pdf、04-摄像头.pdf</t>
  </si>
  <si>
    <t>ls /dev/ttyACM* ; v4l2-ctl --list-devices</t>
  </si>
  <si>
    <t>串口与 4 路相机可读</t>
  </si>
  <si>
    <t>相机 USB 带宽 / 编号顺序</t>
  </si>
  <si>
    <t>3</t>
  </si>
  <si>
    <t>平台一键启停与自检</t>
  </si>
  <si>
    <t>进入具身智能机器人平台一键启动；主动端自检、从动端自检、遥操作模式启动</t>
  </si>
  <si>
    <t>聆动/遥操作设备LDT-01软件使用流程 + LZ-XL01/05-主从臂校准.pdf</t>
  </si>
  <si>
    <t>readsls 心：逐个转动关节与仿真比对</t>
  </si>
  <si>
    <t>主从臂跟随一致、无异常告警</t>
  </si>
  <si>
    <t>主动臂扭矩上锁时勿掰握；被动端拖拽模式 mode:5</t>
  </si>
  <si>
    <t>4</t>
  </si>
  <si>
    <t>主从臂校准与标定</t>
  </si>
  <si>
    <t>记录零位/标定数据、校准后重放验证；安全员与遥操作员配合启动遥操作</t>
  </si>
  <si>
    <t>LZ-XL01/05-主从臂校准.pdf、07-机械臂标定与标定数据.pptx</t>
  </si>
  <si>
    <t>标定数据插件 / 校准脚本</t>
  </si>
  <si>
    <t>标定后遥操作误差在容忍范围</t>
  </si>
  <si>
    <t>被动臂中心 2m 半圆内清障</t>
  </si>
  <si>
    <t>课程2：双臂采训推全流程（ACT/VLA）（LZ-XL01 + 聆动）</t>
  </si>
  <si>
    <t>具身智能“采-训-推”体系</t>
  </si>
  <si>
    <t>采集→转换→训练→推理部署 闭环、ACT 与 VLA(PI0.5) 策略差异（chunk_size/task 字段）、LeRobot 框架</t>
  </si>
  <si>
    <t>聆动/LDT-01 指导文档 00-04 + LZ-XL01/10-模型训练.pdf、13-VLA 模型.pdf</t>
  </si>
  <si>
    <t>ACT chunk_size=100 动作块</t>
  </si>
  <si>
    <t>LeRobot v3 数据格式与转换</t>
  </si>
  <si>
    <t>episode 目录→CSV(34 列 16 关节+16 状态)+视频→Parquet/FFmpeg 合并→meta 元数据 v3 规范</t>
  </si>
  <si>
    <t>聆动/convert_lerobot_data.py（LeRobotV3Converter）</t>
  </si>
  <si>
    <t>python convert_lerobot_data.py --start/--end</t>
  </si>
  <si>
    <t>数据转为 LeRobot v3 标准格式</t>
  </si>
  <si>
    <t>skip_episodes 过滤失败组、fps=30</t>
  </si>
  <si>
    <t>训练环境搭建</t>
  </si>
  <si>
    <t>Miniconda + conda 创建 python3.10 的 lerobot env + PyTorch(CUDA) + FFmpeg(SVT-AV1)</t>
  </si>
  <si>
    <t>聆动/03-数据训练.pdf</t>
  </si>
  <si>
    <t>conda create -n lerobot python=3.10 -y ; conda install ffmpeg -c conda-forge</t>
  </si>
  <si>
    <t>PyTorch CUDA 可用、ffmpeg 就绪</t>
  </si>
  <si>
    <t>nvidia-smi 核对 CUDA 版本选对应 wheel</t>
  </si>
  <si>
    <t>遥操作数据采集</t>
  </si>
  <si>
    <t>新建任务→开始→预览→握持操作端 3s→执行抓-拿-放→停止组；按复杂度的采集量</t>
  </si>
  <si>
    <t>聆动/01-数据采集流程.pdf、04 案例</t>
  </si>
  <si>
    <t>localhost:8699 任务管理→新建任务</t>
  </si>
  <si>
    <t>完成若干组干 净采集（任务名/描述英文）</t>
  </si>
  <si>
    <t>采集数量与单次长度不宜过大（防显存溢出）</t>
  </si>
  <si>
    <t>数据转换与训练</t>
  </si>
  <si>
    <t>转换脚本生成 v3 数据集；训练 ACT / 可选双臂；云服务器训练（数据集上传/提交）</t>
  </si>
  <si>
    <t>聆动/02-数据转换.pdf、03-数据训练.pdf + command/5_train.sh、8_train_dual_arm.sh</t>
  </si>
  <si>
    <t>python lerobot/train…；单臂/双臂批处理脚本</t>
  </si>
  <si>
    <t>训练 loss 收敛、产出 pretrained_model</t>
  </si>
  <si>
    <t>显存监测、超参/步数适中</t>
  </si>
  <si>
    <t>推理部署与验证</t>
  </si>
  <si>
    <t>加载 ACT/VLA 模型到真机，由 /model_ifrun 启动/停止模型，观察自主复现</t>
  </si>
  <si>
    <t>聆动/04-推理.pdf + command/6_inference.sh、9_inference_dual_arm.sh</t>
  </si>
  <si>
    <t>ros2 service call /model_ifrun std_srvs/srv/SetBool data:true</t>
  </si>
  <si>
    <t>模型驱动双臂完成目标动作</t>
  </si>
  <si>
    <t>首次推理 ramp 准备、slew 限速防急动</t>
  </si>
  <si>
    <t>课程3：物料分拣应用场景（聆动 案例-工厂场景）</t>
  </si>
  <si>
    <t>分拣任务建模</t>
  </si>
  <si>
    <t>工厂分拣“抓-拿-放”准则、双臂分工（左黑件入左格/右银件入右格）、场景数据测量（桌面到臂距离）</t>
  </si>
  <si>
    <t>聆动案例-工厂场景.pdf</t>
  </si>
  <si>
    <t>左右手分别取件入收纳盒不同格</t>
  </si>
  <si>
    <t>场景布置与测量</t>
  </si>
  <si>
    <t>布置分拣场景并测量相对距离，标记物品方位；数据采集前清障与安全区设置</t>
  </si>
  <si>
    <t>测量桌面到机械臂距离保持一致</t>
  </si>
  <si>
    <t>场景可复现（距离/方位可重复）</t>
  </si>
  <si>
    <t>距离不一致会导致复现效果差</t>
  </si>
  <si>
    <t>双臂遥操作采集</t>
  </si>
  <si>
    <t>一键启动→新建任务→按预演流程采集：左手取黑色零件入左格、右手取银色零件入右格</t>
  </si>
  <si>
    <t>聆动案例-工厂场景.pdf + command/7_record_dual_arm.sh</t>
  </si>
  <si>
    <t>完成足量干净 episode</t>
  </si>
  <si>
    <t>采集质量直接影响复现成功率</t>
  </si>
  <si>
    <t>模型训练</t>
  </si>
  <si>
    <t>训练数据集（工厂场景 50K 步示例）→ ACT 策略训练→产出模型</t>
  </si>
  <si>
    <t>聆动/03-数据训练.pdf + command/8_train_dual_arm.sh</t>
  </si>
  <si>
    <t>output/act_fac/050000/pretrained_model</t>
  </si>
  <si>
    <t>loss 收敛、模型可加载</t>
  </si>
  <si>
    <t>显存上限管理</t>
  </si>
  <si>
    <t>推理分拣验收</t>
  </si>
  <si>
    <t>加载模型真机复现：左右臂自主将零件分拣入对应格子</t>
  </si>
  <si>
    <t>聆动/04-推理.pdf + command/9_inference_dual_arm.sh</t>
  </si>
  <si>
    <t>/model_ifrun 启动模型</t>
  </si>
  <si>
    <t>分拣入格成功率达标</t>
  </si>
  <si>
    <t>新人可临时人工接管/急停兜底</t>
  </si>
  <si>
    <t>课程4：家庭整理应用场景（聆动 案例-家庭场景）</t>
  </si>
  <si>
    <t>家庭收纳任务建模</t>
  </si>
  <si>
    <t>家庭收纳“抓-拿-放”扩张到双臂配合（左手开盖-右手放物-左手盖盖）；场景测量</t>
  </si>
  <si>
    <t>聆动案例-家庭场景.pdf</t>
  </si>
  <si>
    <t>左手开盒盖→右手取芒果入罐→左手盖回</t>
  </si>
  <si>
    <t>布置收纳场景（盒子/罐子/物品）、测量相对距离与方位；安全保护桌面</t>
  </si>
  <si>
    <t>测量距离并记录</t>
  </si>
  <si>
    <t>复现场景变量固定</t>
  </si>
  <si>
    <t>场景小范围变动需靠足够采集量</t>
  </si>
  <si>
    <t>双臂协同采集</t>
  </si>
  <si>
    <t>按预演流程采集：左手开盖、右手取物放入、左手盖盖，形成完整 episode</t>
  </si>
  <si>
    <t>聆动案例-家庭场景.pdf + command/7_record_dual_arm.sh</t>
  </si>
  <si>
    <t>完整任务闭环采集</t>
  </si>
  <si>
    <t>握持 3s 内稳定操作端</t>
  </si>
  <si>
    <t>ACT/VLA 训练家庭场景数据集→产出模型</t>
  </si>
  <si>
    <t>收敛并保存模型</t>
  </si>
  <si>
    <t>数据集质量检查（smoking test）</t>
  </si>
  <si>
    <t>推理收纳验收</t>
  </si>
  <si>
    <t>加载模型真机复现开盖-取物-入罐-盖盖；评估不同摆放偏移下的鲁棒性</t>
  </si>
  <si>
    <t>/model_ifrun 启动</t>
  </si>
  <si>
    <t>完整闭环成功率 + 偏移鲁棒性达标</t>
  </si>
  <si>
    <t>多次运行取成功率统计</t>
  </si>
  <si>
    <t>课程5：工业巡检应用场景（宇树 Go2 Edu）</t>
  </si>
  <si>
    <t>四足运动与巡检概述</t>
  </si>
  <si>
    <t>Go2 Edu 硬件（3D 激光雷达/深度相机/高清相机/Jetson Orin 40 TOPS）、四足运动能力、巡检任务（表计读数/异常检测/自主巡逻回充）</t>
  </si>
  <si>
    <t>Unitree Go2-App + 官方教学视频/电子文档 + 四足无人巡检实训课程（MODULE 1 运动与通信）</t>
  </si>
  <si>
    <t>Unitree SDK：速度指令/站立/趴下</t>
  </si>
  <si>
    <t>SLAM / 定位 / 导航原理</t>
  </si>
  <si>
    <t>3D 点云建图（SLAM_Toolbox/自定义）、AMCL 粒子定位、Nav2 路径规划与避障、多点巡检路线编排</t>
  </si>
  <si>
    <t>四足无人巡检实训课程（MODULE 3：AMCL×Nav2×巡检与视觉）</t>
  </si>
  <si>
    <t>ROS2 通信 → SLAM 建图 → Nav2 导航</t>
  </si>
  <si>
    <t>SDK 运动控制与巡检准备</t>
  </si>
  <si>
    <t>安装 Unitree SDK 与 ROS2 Go2 驱动；遥控/指令控制前进转向、站起趴下、读状态</t>
  </si>
  <si>
    <t>Unitree SDK（Python）+ Go2 EDU 40TOPS 平台</t>
  </si>
  <si>
    <t>robot.lip/动控制示例</t>
  </si>
  <si>
    <t>指令驱动四足运动正常</t>
  </si>
  <si>
    <t>低速起步，避免跌落/碰撞</t>
  </si>
  <si>
    <t>3D 激光建图</t>
  </si>
  <si>
    <t>启动 3D 激光与建图节点，驱动机器狗遍历场地生成 3D 点云/栅格地图</t>
  </si>
  <si>
    <t>多线激光 + SLAM 节点（Mid-360/XT16 等）</t>
  </si>
  <si>
    <t>RViz 观察逐步生成点云/栅格地图</t>
  </si>
  <si>
    <t>生成可用巡检地图</t>
  </si>
  <si>
    <t>闭合回路提升建图质量</t>
  </si>
  <si>
    <t>定位与多点导航巡检</t>
  </si>
  <si>
    <t>配置 AMCL 初始位姿与 Nav2 参数；编排多个巡检点，让 Go2 依序自主到达（避障）</t>
  </si>
  <si>
    <t>AMCL + Nav2 巡检编排（四足巡检实训 MODULE 3）</t>
  </si>
  <si>
    <t>RViz 2D Pose Estimate / 2D Goal Pose</t>
  </si>
  <si>
    <t>Go2 依序自主到达巡检点</t>
  </si>
  <si>
    <t>每点需定位收敛后再出发</t>
  </si>
  <si>
    <t>视觉巡检闭环与报告</t>
  </si>
  <si>
    <t>巡检点拍照/录像，YOLOv8/ONNX 识别表计读数或异常目标，汇总生成巡检报告并自主回充</t>
  </si>
  <si>
    <t>YOLOv8/ONNX + 巡检编排 + 报告脚本</t>
  </si>
  <si>
    <t>相机话题 → 目标识别 → 生成报告</t>
  </si>
  <si>
    <t>完成“建图-定位-巡检-识别-报告”闭环</t>
  </si>
  <si>
    <t>光照不足需补光、目标阈值标定</t>
  </si>
  <si>
    <t>整体软硬件环境清单（三套方案合并）</t>
  </si>
  <si>
    <t>数量为一场培训基准（2人一套）；实操分组轮换</t>
  </si>
  <si>
    <t>类别</t>
  </si>
  <si>
    <t>名称</t>
  </si>
  <si>
    <t>型号/规格</t>
  </si>
  <si>
    <t>适用课程</t>
  </si>
  <si>
    <t>在任务中的角色</t>
  </si>
  <si>
    <t>数量</t>
  </si>
  <si>
    <t>硬件</t>
  </si>
  <si>
    <t>具身智能实验箱 B2</t>
  </si>
  <si>
    <t>XFLZ_EAI_B2_PRO</t>
  </si>
  <si>
    <t>课程1/2/3</t>
  </si>
  <si>
    <t>承载六麦阵列、摄像头及 MQ5/指纹/RFID 传感器实验</t>
  </si>
  <si>
    <t>2人1套</t>
  </si>
  <si>
    <t>MQ5 气体传感器</t>
  </si>
  <si>
    <t>I2C/ADC</t>
  </si>
  <si>
    <t>气体浓度话题发布订阅数据源</t>
  </si>
  <si>
    <t>指纹传感器</t>
  </si>
  <si>
    <t>串口</t>
  </si>
  <si>
    <t>指纹验证服务通讯案例</t>
  </si>
  <si>
    <t>RFID 读卡器(MFRC522)</t>
  </si>
  <si>
    <t>SPI/GPIO</t>
  </si>
  <si>
    <t>动作通讯/自定义接口案例</t>
  </si>
  <si>
    <t>具身智能机器人小车 C1</t>
  </si>
  <si>
    <t>含底盘+控制板</t>
  </si>
  <si>
    <t>课程4/5/6</t>
  </si>
  <si>
    <t>运动载体，执行 /cmd_vel 与导航抓取</t>
  </si>
  <si>
    <t>2人1台</t>
  </si>
  <si>
    <t>激光雷达</t>
  </si>
  <si>
    <t>2D 激光雷达</t>
  </si>
  <si>
    <t>建图与 AMCL 定位输入</t>
  </si>
  <si>
    <t>深度相机</t>
  </si>
  <si>
    <t>RGB-D</t>
  </si>
  <si>
    <t>课程2/5/6</t>
  </si>
  <si>
    <t>目标识别与深度 3D 检测</t>
  </si>
  <si>
    <t>机械臂</t>
  </si>
  <si>
    <t>6自由度+夹爪(舵机)</t>
  </si>
  <si>
    <t>课程5/6</t>
  </si>
  <si>
    <t>抓取与放置执行</t>
  </si>
  <si>
    <t>麦克风阵列 + 喇叭</t>
  </si>
  <si>
    <t>讯飞六麦阵列</t>
  </si>
  <si>
    <t>课程3/6</t>
  </si>
  <si>
    <t>语音唤醒/识别采集，TTS 播放</t>
  </si>
  <si>
    <t>上位机/工作站</t>
  </si>
  <si>
    <t>≥16GB + Linux</t>
  </si>
  <si>
    <t>全部6门</t>
  </si>
  <si>
    <t>运行 ROS2 与各节点</t>
  </si>
  <si>
    <t>电源与充电器</t>
  </si>
  <si>
    <t>配套</t>
  </si>
  <si>
    <t>设备供电</t>
  </si>
  <si>
    <t>按需</t>
  </si>
  <si>
    <t>软件</t>
  </si>
  <si>
    <t>操作系统 + ROS2</t>
  </si>
  <si>
    <t>Ubuntu + ROS2(Humble)</t>
  </si>
  <si>
    <t>运行环境</t>
  </si>
  <si>
    <t>内置</t>
  </si>
  <si>
    <t>视觉栈</t>
  </si>
  <si>
    <t>OpenCV + YOLOv8 + DeepSORT + MediaPipe + RKNN</t>
  </si>
  <si>
    <t>课程2/5</t>
  </si>
  <si>
    <t>颜色/缺陷检测/跟踪/关键点/NPU部署</t>
  </si>
  <si>
    <t>语音栈</t>
  </si>
  <si>
    <t>car1_speech（KWS/ASR/TTS）</t>
  </si>
  <si>
    <t>语音唤醒/识别/合成</t>
  </si>
  <si>
    <t>建图/导航栈</t>
  </si>
  <si>
    <t>SLAM_Toolbox + Nav2 + AMCL</t>
  </si>
  <si>
    <t>栅格建图与自主导航定位（仅 C1）</t>
  </si>
  <si>
    <t>机械臂控制</t>
  </si>
  <si>
    <t>car1_arm_controller + test_servo_direct</t>
  </si>
  <si>
    <t>串口底层控制 + IK 抓取服务</t>
  </si>
  <si>
    <t>大模型应用</t>
  </si>
  <si>
    <t>课程6</t>
  </si>
  <si>
    <t>语音+大模型驱动智慧工厂</t>
  </si>
  <si>
    <t>可视化</t>
  </si>
  <si>
    <t>RViz2 + Gazebo + rqt</t>
  </si>
  <si>
    <t>地图/轨迹/图像观察、仿真</t>
  </si>
  <si>
    <t>耗材/场地</t>
  </si>
  <si>
    <t>色块/标志物</t>
  </si>
  <si>
    <t>满足 HSV/识别阈值</t>
  </si>
  <si>
    <t>抓取目标、检测目标</t>
  </si>
  <si>
    <t>2人1-3个</t>
  </si>
  <si>
    <t>测试场地</t>
  </si>
  <si>
    <t>≥4㎡ 平整且反光地面</t>
  </si>
  <si>
    <t>建图/导航/抓取/语音测试</t>
  </si>
  <si>
    <t>1处</t>
  </si>
  <si>
    <t>含底盘 + 控制板</t>
  </si>
  <si>
    <t>全部 4 门</t>
  </si>
  <si>
    <t>运动载体，执行 /cmd_vel</t>
  </si>
  <si>
    <t>1 台</t>
  </si>
  <si>
    <t>课程1/4</t>
  </si>
  <si>
    <t>HP60C RGB-D</t>
  </si>
  <si>
    <t>课程2/4</t>
  </si>
  <si>
    <t>目标识别（存在 0.5m 近盲区，用平面投影规避）</t>
  </si>
  <si>
    <t>多自由度机械臂（舵机）</t>
  </si>
  <si>
    <t>1 套</t>
  </si>
  <si>
    <t>语音输入/输出</t>
  </si>
  <si>
    <t>课程3/4</t>
  </si>
  <si>
    <t>运行 ROS2 与节点</t>
  </si>
  <si>
    <t>1-2 台</t>
  </si>
  <si>
    <t>Ubuntu + ROS2（Humble）</t>
  </si>
  <si>
    <t>建图栈</t>
  </si>
  <si>
    <t>car1_slam（slam_toolbox）</t>
  </si>
  <si>
    <t>栅格地图构建,保存 slam_map</t>
  </si>
  <si>
    <t>导航栈</t>
  </si>
  <si>
    <t>car1_navigation（Nav2 + AMCL）</t>
  </si>
  <si>
    <t>路径规划与定位</t>
  </si>
  <si>
    <t>坐标变换</t>
  </si>
  <si>
    <t>TF2</t>
  </si>
  <si>
    <t>map/base_link/相机坐标系同步</t>
  </si>
  <si>
    <t>视觉抓取</t>
  </si>
  <si>
    <t>visual_grasp</t>
  </si>
  <si>
    <t>HSV 识别 + 视觉抓取触发</t>
  </si>
  <si>
    <t>set_pick_target/pick/place/go_home 服务</t>
  </si>
  <si>
    <t>语音交互</t>
  </si>
  <si>
    <t>car1_speech</t>
  </si>
  <si>
    <t>KWS/ASR/TTS 节点</t>
  </si>
  <si>
    <t>大模型交互</t>
  </si>
  <si>
    <t>car1_llm</t>
  </si>
  <si>
    <t>对话管理 + 技能执行</t>
  </si>
  <si>
    <t>综合应用</t>
  </si>
  <si>
    <t>car1_app（navigation_grasp_transport）</t>
  </si>
  <si>
    <t>全流程状态机</t>
  </si>
  <si>
    <t>RViz</t>
  </si>
  <si>
    <t>地图/轨迹/图像观察</t>
  </si>
  <si>
    <t>红色立方体（目标物）</t>
  </si>
  <si>
    <t>满足 HSV 红色双区间</t>
  </si>
  <si>
    <t>抓取目标</t>
  </si>
  <si>
    <t>1-3 个</t>
  </si>
  <si>
    <t>测试场地和挡板</t>
  </si>
  <si>
    <t>≥4㎡平整但反光地面</t>
  </si>
  <si>
    <t>导航/旋转搜索/语音测试</t>
  </si>
  <si>
    <t>1 处</t>
  </si>
  <si>
    <t>LeRobot 机械臂（LZ-XL01）</t>
  </si>
  <si>
    <t>主从同构 7 轴双臂 + 4×RGB 相机 + 遥操作夹爪 + 训练主机</t>
  </si>
  <si>
    <t>课程1/2</t>
  </si>
  <si>
    <t>ACT/VLA 采训推全流程平台（LZ-XL01 课程）</t>
  </si>
  <si>
    <t>聆动 LDT-01 采训推机器人</t>
  </si>
  <si>
    <t>主从同构 7 轴双臂 + 4×RGB 相机（头部/左腕/右腕/备用）+ 二指夹爪 + RTX 4060 Ti + 64GB</t>
  </si>
  <si>
    <t>物料分拣 / 家庭整理应用场景数据采集、训练与真机推理</t>
  </si>
  <si>
    <t>遥操作主动臂 + 夹爪套</t>
  </si>
  <si>
    <t>主臂（总线舵机 100Hz）+ 遥操作夹爪</t>
  </si>
  <si>
    <t>课程1/2/3/4</t>
  </si>
  <si>
    <t>主从跟随操作臂，采集数据源</t>
  </si>
  <si>
    <t>宇树四足机器狗 Go2 Edu</t>
  </si>
  <si>
    <t>3D 激光雷达 + 深度相机 + 高清相机 + IMU + 足端力传感 + Jetson Orin 40 TOPS</t>
  </si>
  <si>
    <t>课程5</t>
  </si>
  <si>
    <t>工业巡检执行平台</t>
  </si>
  <si>
    <t>GPU 训练工作站 / 云服务器</t>
  </si>
  <si>
    <t>NVIDIA RTX（4060Ti 及以上）/ 云 GPU</t>
  </si>
  <si>
    <t>课程2/3/4</t>
  </si>
  <si>
    <t>ACT/VLA 模型训练</t>
  </si>
  <si>
    <t>1 台/按需</t>
  </si>
  <si>
    <t>路由器 + 网线 / 显示器</t>
  </si>
  <si>
    <t>千兆交换 + HDMI</t>
  </si>
  <si>
    <t>远程/本地接入采训平台</t>
  </si>
  <si>
    <t>配套（LDT-01 220V；Go2 电池）</t>
  </si>
  <si>
    <t>全部 5 门</t>
  </si>
  <si>
    <t>供电与充电</t>
  </si>
  <si>
    <t>Ubuntu 22.04 + ROS2（Humble）</t>
  </si>
  <si>
    <t>采训推框架</t>
  </si>
  <si>
    <t>LeRobot 0.4.1 + PyTorch(CUDA) + ACT / VLA(PI0.5)</t>
  </si>
  <si>
    <t>数据转换、训练、推理</t>
  </si>
  <si>
    <t>2套</t>
  </si>
  <si>
    <t>数据采集平台</t>
  </si>
  <si>
    <t>具身智能机器人平台（localhost:8699/#/robotManage）</t>
  </si>
  <si>
    <t>新建任务、遥操作采集、预览</t>
  </si>
  <si>
    <t>数据转换脚本</t>
  </si>
  <si>
    <t>convert_lerobot_data.py（LeRobotV3Converter）</t>
  </si>
  <si>
    <t>episode→LeRobot v3 数据</t>
  </si>
  <si>
    <t>机械臂系统</t>
  </si>
  <si>
    <t>iflytek_armtele_project + arm_lifting_msgs</t>
  </si>
  <si>
    <t>遥操作自检、拖拽/位置模式（/isaac_joint_mode）</t>
  </si>
  <si>
    <t>四足控制与导航</t>
  </si>
  <si>
    <t>Unitree SDK（Python）+ ROS2 Go2 驱动 + SLAM/Nav2/AMCL</t>
  </si>
  <si>
    <t>运动控制、建图、定位与导航</t>
  </si>
  <si>
    <t>视觉感知</t>
  </si>
  <si>
    <t>YOLOv8 + ONNX + OpenCV</t>
  </si>
  <si>
    <t>巡检目标识别（表计/异常）</t>
  </si>
  <si>
    <t>RViz2 + rqt</t>
  </si>
  <si>
    <t>点云/地图/图像/轨迹观察</t>
  </si>
  <si>
    <t>分拣/收纳物料</t>
  </si>
  <si>
    <t>黑色与银色零件、收纳盒、不锈钢盒、罐子、芒果等</t>
  </si>
  <si>
    <t>分拣与收纳场景目标物</t>
  </si>
  <si>
    <t>1-3 套</t>
  </si>
  <si>
    <t>巡检场地与标定目标</t>
  </si>
  <si>
    <t>≥4㎡ 平整场地 + 表计图/二维码/异常标志物</t>
  </si>
  <si>
    <t>巡检建图与多目标识别</t>
  </si>
  <si>
    <t>平整不反光地面 + 安全围栏</t>
  </si>
  <si>
    <t>实操与安全隔离</t>
  </si>
  <si>
    <t>整体考核与评分标准（三套方案 · 各满分 100）</t>
  </si>
  <si>
    <t>评分人：讲师（可 2 人交叉评分取均分）</t>
  </si>
  <si>
    <t>序号</t>
  </si>
  <si>
    <t>考核维度</t>
  </si>
  <si>
    <t>考核方式</t>
  </si>
  <si>
    <t>评分细则</t>
  </si>
  <si>
    <t>分值</t>
  </si>
  <si>
    <t>得分</t>
  </si>
  <si>
    <t>1. 机器人ROS2应用</t>
  </si>
  <si>
    <t>机器人ROS2应用</t>
  </si>
  <si>
    <t>实操（课程1）</t>
  </si>
  <si>
    <t>独立建工作空间、编写节点并完成话题/服务通信</t>
  </si>
  <si>
    <t>2. 机器人视觉应用</t>
  </si>
  <si>
    <t>机器人视觉应用</t>
  </si>
  <si>
    <t>实操（课程2）</t>
  </si>
  <si>
    <t>颜色识别、缺陷检测、目标跟踪与深度测距</t>
  </si>
  <si>
    <t>3. 语音交互应用</t>
  </si>
  <si>
    <t>语音交互应用</t>
  </si>
  <si>
    <t>实操（课程3）</t>
  </si>
  <si>
    <t>完成唤醒、识别、合成与LLM/VLM端到端语音与视觉交互</t>
  </si>
  <si>
    <t>4. SLAM与自主导航</t>
  </si>
  <si>
    <t>SLAM与自主导航</t>
  </si>
  <si>
    <t>实操（课程4）</t>
  </si>
  <si>
    <t>完成建图、定位并自主导航到达目标点</t>
  </si>
  <si>
    <t>5. 机械臂应用</t>
  </si>
  <si>
    <t>机械臂应用</t>
  </si>
  <si>
    <t>实操（课程5）</t>
  </si>
  <si>
    <t>完成软检、实机IK解算与视觉动态抓取</t>
  </si>
  <si>
    <t>6. 大模型综合应用</t>
  </si>
  <si>
    <t>大模型综合应用</t>
  </si>
  <si>
    <t>实操（课程6）</t>
  </si>
  <si>
    <t>语音驱动装货/分拣/码垛闭环，安全联锁生效</t>
  </si>
  <si>
    <t>培训表现</t>
  </si>
  <si>
    <t>讲师观察</t>
  </si>
  <si>
    <t>参与度、操作规范（安全交底执行）、日志记录完整</t>
  </si>
  <si>
    <t>满分 100（≥90 优秀 / 75-89 良好 / 60-74 合格 / &lt;60 复训）</t>
  </si>
  <si>
    <t>说明：得分列由评分人填写；多人交叉评分取算术平均；某应用场景课程未开设时其分值按比例折算入其余实操课程。</t>
  </si>
  <si>
    <t>方案2-智慧工厂&amp;智慧交通场景</t>
  </si>
  <si>
    <t>1. 机器人建图与导航</t>
  </si>
  <si>
    <t>独立完成建图、设初始位姿、目标点导航到位</t>
  </si>
  <si>
    <t>2. 机器人视觉与抓取</t>
  </si>
  <si>
    <t>软检放堵转、视觉识别目标物、抓取-放置一次成功</t>
  </si>
  <si>
    <t>3. 机器人离线大模型语音交互</t>
  </si>
  <si>
    <t>完成唤醒、识别、TTS 合成与大模型意图识别并触发技能</t>
  </si>
  <si>
    <t>4. 综合应用闭环</t>
  </si>
  <si>
    <t>语音指令驱动建图导航+视觉抓取完整闭环，一次通过</t>
  </si>
  <si>
    <t>方案3-具身智能端到端行业应用</t>
  </si>
  <si>
    <t>1. 端到端平台与基础</t>
  </si>
  <si>
    <t>完成主机环境搭建、平台一键启停、主从臂校准与遥操作自检</t>
  </si>
  <si>
    <t>2. 双臂采训推全流程</t>
  </si>
  <si>
    <t>独立完成采集→转换→训练→推理闭环，真机复现一次</t>
  </si>
  <si>
    <t>3. 物料分拣应用场景</t>
  </si>
  <si>
    <t>双臂自主完成零件分拣入格任务（训练后复现）</t>
  </si>
  <si>
    <t>4. 家庭整理应用场景</t>
  </si>
  <si>
    <t>双臂自主完成开盖-取物-入罐-盖盖收纳闭环</t>
  </si>
  <si>
    <t>5. 工业巡检应用场景</t>
  </si>
  <si>
    <t>Go2 Edu 完成建图-定位-多点巡检-目标识别并回传报告</t>
  </si>
  <si>
    <t>参与度、安全交底执行、操作规范、数据/日志记录完整</t>
  </si>
  <si>
    <t>整体安全与风险预案（三套方案合并）</t>
  </si>
  <si>
    <t>等级：高/中/低；所有实机操作前必须先完成安全交底；先软检、后实机</t>
  </si>
  <si>
    <t>风险类别</t>
  </si>
  <si>
    <t>风险描述</t>
  </si>
  <si>
    <t>等级</t>
  </si>
  <si>
    <t>预防措施</t>
  </si>
  <si>
    <t>应急处理</t>
  </si>
  <si>
    <t>责任角色</t>
  </si>
  <si>
    <t>设备安全</t>
  </si>
  <si>
    <t>机械臂堵转 / 舵机过载损坏（课程5/6）</t>
  </si>
  <si>
    <t>高</t>
  </si>
  <si>
    <t>实机前执行 test_servo_direct.py 验证 PWM（先软检、后实机）；再启用 IK/视觉抓取</t>
  </si>
  <si>
    <t>立即断电停机，检查舵机，上报讲师</t>
  </si>
  <si>
    <t>讲师/学员</t>
  </si>
  <si>
    <t>机械臂动作区域有人进入</t>
  </si>
  <si>
    <t>划定安全区、人机分离；实操全程讲师在场</t>
  </si>
  <si>
    <t>急停（断臂供电），暂停任务</t>
  </si>
  <si>
    <t>讲师</t>
  </si>
  <si>
    <t>运行故障</t>
  </si>
  <si>
    <t>小车导航撞障 / 越界（课程4）</t>
  </si>
  <si>
    <t>中</t>
  </si>
  <si>
    <t>使用已标定地图；清障；AMCL 收敛后再设目标点</t>
  </si>
  <si>
    <t>人工检查地图/障碍，重启任务</t>
  </si>
  <si>
    <t>学员+讲师</t>
  </si>
  <si>
    <t>语音唤醒/ASR识别低或麦克风啸叫（课程3/6）</t>
  </si>
  <si>
    <t>配置唤醒词；环境降噪；校准麦克风增益；音量适中</t>
  </si>
  <si>
    <t>降噪或调整配置后重试</t>
  </si>
  <si>
    <t>学员</t>
  </si>
  <si>
    <t>感知故障</t>
  </si>
  <si>
    <t>视觉误检 / 漏检（课程2/5/6）</t>
  </si>
  <si>
    <t>检查光照与 HSV 阈值匹配；目标物在可视距离（&gt;0.5m）</t>
  </si>
  <si>
    <t>调整阈值/搜索角度重试</t>
  </si>
  <si>
    <t>目标物位于相机 0.5m 近盲区（课程5/6）</t>
  </si>
  <si>
    <t>目标物置于可视距离；用平面投影规避盲区</t>
  </si>
  <si>
    <t>调整目标物位置，重新检测</t>
  </si>
  <si>
    <t>模型/串口/GPIO 占用冲突导致节点无响应</t>
  </si>
  <si>
    <t>严格按 launch 顺序；先停止占用进程再复用资源</t>
  </si>
  <si>
    <t>按文档核对进程，重启节点</t>
  </si>
  <si>
    <t>数据风险</t>
  </si>
  <si>
    <t>地图 / 参数 / 模型文件被误改</t>
  </si>
  <si>
    <t>低</t>
  </si>
  <si>
    <t>操作前备份 slam_map、eai_factory.yaml、track_config.yaml</t>
  </si>
  <si>
    <t>恢复备份后重启节点</t>
  </si>
  <si>
    <t>机械臂堵转 / 舵机过载损坏（课程2/4）</t>
  </si>
  <si>
    <t>实机前执行 test_servo_direct.py 验证 PWM（先软检、后实机）</t>
  </si>
  <si>
    <t>导航超时（nav_timeout_sec=300s，课程1/4）</t>
  </si>
  <si>
    <t>使用已标定地图；清障；AMCL 收敛后再出发</t>
  </si>
  <si>
    <t>目标物识别失败（课程2/4）</t>
  </si>
  <si>
    <t>检查光照与 HSV 阈值匹配；目标物在可视距离（&gt;0.5m）；必要时加大搜索角度</t>
  </si>
  <si>
    <t>目标物位于相机 0.5m 近盲区</t>
  </si>
  <si>
    <t>目标物置于可视距离；observe_settle_sec=5s 等臂停稳</t>
  </si>
  <si>
    <t>感知/软件</t>
  </si>
  <si>
    <t>启动顺序错误导致节点无响应</t>
  </si>
  <si>
    <t>严格按 launch 顺序；等待错峰就绪（机械臂 8s/相机 10s/主节点 15s）</t>
  </si>
  <si>
    <t>按文档核对顺序，重启 launch</t>
  </si>
  <si>
    <t>语音唤醒/ASR 识别低（课程3/4）</t>
  </si>
  <si>
    <t>配置唤醒词；环境降噪；校准麦克风增益</t>
  </si>
  <si>
    <t>操作前备份 slam_map、navigation_grasp_transport.yaml、skills.yaml</t>
  </si>
  <si>
    <t>人身安全</t>
  </si>
  <si>
    <t>从动臂动作区域内有人/物体（课程1/2/3/4）</t>
  </si>
  <si>
    <t>划定 2m 安全半圆区、人机分离；配置远程急停；实操全程讲师在场、安全员观察</t>
  </si>
  <si>
    <t>脚踹被动臂急停开关，暂停任务，检查后再继续</t>
  </si>
  <si>
    <t>讲师/安全员</t>
  </si>
  <si>
    <t>主动臂扭矩上锁时被掰握损坏电机（课程1）</t>
  </si>
  <si>
    <t>扭矩上锁期间明确告警并禁碰主动端；只可在解锁后拖拽</t>
  </si>
  <si>
    <t>立即停止拖拽，上报售后检查电机</t>
  </si>
  <si>
    <t>从动臂自由落体/姿态危险（课程1/2）</t>
  </si>
  <si>
    <t>进入拖拽模式前 2 人扶臂给力；保持自然悬垂姿态再启动</t>
  </si>
  <si>
    <t>扶稳手臂，切换拖拽模式 mode:5</t>
  </si>
  <si>
    <t>学员/讲师</t>
  </si>
  <si>
    <t>Go2 巡检碰撞/跌落（课程5）</t>
  </si>
  <si>
    <t>场地清障、低速起步、导航碰撞阈值；巡检前发定位收敛</t>
  </si>
  <si>
    <t>遥控接管/紧急停控制，检查机身与关节</t>
  </si>
  <si>
    <t>训练显存溢出导致训练终止（课程2/3/4）</t>
  </si>
  <si>
    <t>控制采集量与单条长度；配置 batch/步数；监测 nvidia-smi</t>
  </si>
  <si>
    <t>降低 batch_size 或精简数据集重训</t>
  </si>
  <si>
    <t>采集质量差导致复现率低（课程2/3/4）</t>
  </si>
  <si>
    <t>按规范场景测量与固定姿态；采集后抽查；skip 失败组</t>
  </si>
  <si>
    <t>筛选/重采数据，标注任务描述</t>
  </si>
  <si>
    <t>推理急动/动作超限（课程2/3/4）</t>
  </si>
  <si>
    <t>首次推理 ramp 准备；slew 限速；设置速度上限</t>
  </si>
  <si>
    <t>急停并从动臂接管，检查模型与参数</t>
  </si>
  <si>
    <t>数据/模型/标定文件被误改（课程1/2/3/4）</t>
  </si>
  <si>
    <t>操作前备份数据集、pretrained_model、标定数据</t>
  </si>
  <si>
    <t>恢复备份后重跑</t>
  </si>
  <si>
    <t>Go2 电池 / 导航超时（课程5）</t>
  </si>
  <si>
    <t>巡检前检查电量与回充点；导航超时参数；定位收敛后再出发</t>
  </si>
  <si>
    <t>整体培训内容完整度评估（课程状态 + 完成度）</t>
  </si>
  <si>
    <t>状态：可开班 / 开发中 / 待开发；完成度 % 为当前资源与内容就绪程度的初估，随建设持续更新</t>
  </si>
  <si>
    <t>课程/模块</t>
  </si>
  <si>
    <t>状态</t>
  </si>
  <si>
    <t>课时/实验</t>
  </si>
  <si>
    <t>内容就绪度%</t>
  </si>
  <si>
    <t>完成度(资源)%</t>
  </si>
  <si>
    <t>建议动作</t>
  </si>
  <si>
    <t>备注</t>
  </si>
  <si>
    <t>开发中</t>
  </si>
  <si>
    <t>70</t>
  </si>
  <si>
    <t>补齐余下实验配套</t>
  </si>
  <si>
    <t>source-codes/ros_sensor 已有大部分</t>
  </si>
  <si>
    <t>65</t>
  </si>
  <si>
    <t>补齐YOLOv8缺陷/NPU部署细节</t>
  </si>
  <si>
    <t>vision/01-12 基础齐</t>
  </si>
  <si>
    <t>60</t>
  </si>
  <si>
    <t>完善端到端LLM/VLM交互</t>
  </si>
  <si>
    <t>car1_speech（B2/C1）齐</t>
  </si>
  <si>
    <t>完善多点导航/RTAB-Map</t>
  </si>
  <si>
    <t>slam+nav2（仅C1）</t>
  </si>
  <si>
    <t>补齐IK解算/视觉动态抓取</t>
  </si>
  <si>
    <t>car1_arm_controller 齐</t>
  </si>
  <si>
    <t>55</t>
  </si>
  <si>
    <t>完善分拣/码垛/安全联锁配套</t>
  </si>
  <si>
    <t>90</t>
  </si>
  <si>
    <t>可开班，随实际预演微调</t>
  </si>
  <si>
    <t>nav2/AMCL 已跑通</t>
  </si>
  <si>
    <t>visual_grasp+arm_controller 已跑通</t>
  </si>
  <si>
    <t>30</t>
  </si>
  <si>
    <t>二期开发：ASR/TTS/意图技能</t>
  </si>
  <si>
    <t>car1_speech+eai_factory 部分</t>
  </si>
  <si>
    <t>机器人语音控制导航抓取综合</t>
  </si>
  <si>
    <t>25</t>
  </si>
  <si>
    <t>二期开发：综合状态机闭环</t>
  </si>
  <si>
    <t>navigation_grasp_transport 部分</t>
  </si>
  <si>
    <t>具身智能端到端平台与基础</t>
  </si>
  <si>
    <t>按 LZ-XL01 文档补齐实训脚本</t>
  </si>
  <si>
    <t>LZ-XL01 指导文件(00-15)齐</t>
  </si>
  <si>
    <t>双臂采训推全流程（ACT/VLA）</t>
  </si>
  <si>
    <t>按聆动/LZ-XL01 补齐采训推闭环</t>
  </si>
  <si>
    <t>LZ-XL01(10-13)+聆动LDT-01</t>
  </si>
  <si>
    <t>物料分拣应用场景</t>
  </si>
  <si>
    <t>45</t>
  </si>
  <si>
    <t>补工厂场景采集与训练案例</t>
  </si>
  <si>
    <t>聆动案例-工厂场景有</t>
  </si>
  <si>
    <t>家庭整理应用场景</t>
  </si>
  <si>
    <t>补家庭场景采集与训练案例</t>
  </si>
  <si>
    <t>聆动案例-家庭场景有</t>
  </si>
  <si>
    <t>工业巡检应用场景（宇树）</t>
  </si>
  <si>
    <t>40</t>
  </si>
  <si>
    <t>补Go2建图/导航/巡检编排</t>
  </si>
  <si>
    <t>Unitree SDK+巡检实训课程待落地</t>
  </si>
  <si>
    <t>整体平均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</si>
</sst>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3"/>
      <color rgb="FFFFFFFF"/>
      <name val="微软雅黑"/>
      <charset val="134"/>
    </font>
    <font>
      <sz val="10"/>
      <color rgb="FF000000"/>
      <name val="微软雅黑"/>
      <charset val="134"/>
    </font>
    <font>
      <b/>
      <sz val="10"/>
      <color rgb="FFFFFFFF"/>
      <name val="微软雅黑"/>
      <charset val="134"/>
    </font>
    <font>
      <b/>
      <sz val="10"/>
      <color rgb="FF000000"/>
      <name val="微软雅黑"/>
      <charset val="134"/>
    </font>
    <font>
      <sz val="9"/>
      <color rgb="FF000000"/>
      <name val="微软雅黑"/>
      <charset val="134"/>
    </font>
    <font>
      <b/>
      <sz val="9"/>
      <color rgb="FF000000"/>
      <name val="微软雅黑"/>
      <charset val="134"/>
    </font>
    <font>
      <b/>
      <sz val="12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9C2D0"/>
      </left>
      <right style="thin">
        <color rgb="FFB9C2D0"/>
      </right>
      <top style="thin">
        <color rgb="FFB9C2D0"/>
      </top>
      <bottom style="thin">
        <color rgb="FFB9C2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5" fillId="0" borderId="1" xfId="0" applyNumberFormat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/>
    <xf numFmtId="0" fontId="4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2" fillId="0" borderId="1" xfId="0" applyFont="1" applyBorder="1" applyAlignment="1">
      <alignment horizontal="left" vertical="center" wrapText="1"/>
    </xf>
    <xf numFmtId="0" fontId="7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zoomScale="130" zoomScaleNormal="130" workbookViewId="0">
      <selection activeCell="D5" sqref="D5"/>
    </sheetView>
  </sheetViews>
  <sheetFormatPr defaultColWidth="9" defaultRowHeight="14" outlineLevelCol="5"/>
  <cols>
    <col min="1" max="1" width="14" customWidth="1"/>
    <col min="2" max="2" width="30" customWidth="1"/>
    <col min="3" max="3" width="14" customWidth="1"/>
    <col min="4" max="4" width="60" customWidth="1"/>
    <col min="5" max="5" width="32" customWidth="1"/>
    <col min="6" max="6" width="14" customWidth="1"/>
  </cols>
  <sheetData>
    <row r="1" ht="24" customHeight="1" spans="1:6">
      <c r="A1" s="1" t="s">
        <v>0</v>
      </c>
    </row>
    <row r="2" ht="14.5" spans="1:6">
      <c r="A2" s="2" t="s">
        <v>1</v>
      </c>
    </row>
    <row r="3" ht="14.5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ht="43.5" spans="1:6">
      <c r="A4" s="7" t="s">
        <v>8</v>
      </c>
      <c r="B4" s="21" t="s">
        <v>9</v>
      </c>
      <c r="C4" s="4" t="s">
        <v>10</v>
      </c>
      <c r="D4" s="21" t="s">
        <v>11</v>
      </c>
      <c r="E4" s="21" t="s">
        <v>12</v>
      </c>
      <c r="F4" s="4">
        <v>61</v>
      </c>
    </row>
    <row r="5" ht="43.5" spans="1:6">
      <c r="A5" s="7" t="s">
        <v>13</v>
      </c>
      <c r="B5" s="21" t="s">
        <v>14</v>
      </c>
      <c r="C5" s="4" t="s">
        <v>15</v>
      </c>
      <c r="D5" s="21" t="s">
        <v>16</v>
      </c>
      <c r="E5" s="21" t="s">
        <v>17</v>
      </c>
      <c r="F5" s="4">
        <v>4</v>
      </c>
    </row>
    <row r="6" ht="43.5" spans="1:6">
      <c r="A6" s="7" t="s">
        <v>18</v>
      </c>
      <c r="B6" s="21" t="s">
        <v>19</v>
      </c>
      <c r="C6" s="4" t="s">
        <v>20</v>
      </c>
      <c r="D6" s="21" t="s">
        <v>21</v>
      </c>
      <c r="E6" s="21" t="s">
        <v>22</v>
      </c>
      <c r="F6" s="4">
        <v>5</v>
      </c>
    </row>
    <row r="7" ht="14.5" spans="1:6">
      <c r="A7" s="7" t="s">
        <v>23</v>
      </c>
      <c r="B7" s="21" t="s">
        <v>24</v>
      </c>
      <c r="C7" s="8"/>
      <c r="D7" s="8"/>
      <c r="E7" s="7"/>
      <c r="F7" s="7">
        <f>SUM(F4:F6)</f>
        <v>70</v>
      </c>
    </row>
    <row r="9" ht="16.5" spans="1:6">
      <c r="A9" s="22" t="s">
        <v>25</v>
      </c>
    </row>
    <row r="10" ht="29" spans="1:6">
      <c r="A10" s="3" t="s">
        <v>26</v>
      </c>
      <c r="B10" s="3" t="s">
        <v>27</v>
      </c>
      <c r="C10" s="3" t="s">
        <v>28</v>
      </c>
      <c r="D10" s="3" t="s">
        <v>29</v>
      </c>
      <c r="E10" s="3" t="s">
        <v>30</v>
      </c>
      <c r="F10" s="3" t="s">
        <v>31</v>
      </c>
    </row>
    <row r="11" ht="101.5" spans="1:6">
      <c r="A11" s="4" t="s">
        <v>32</v>
      </c>
      <c r="B11" s="5" t="s">
        <v>33</v>
      </c>
      <c r="C11" s="5" t="s">
        <v>34</v>
      </c>
      <c r="D11" s="5" t="s">
        <v>35</v>
      </c>
      <c r="E11" s="5" t="s">
        <v>36</v>
      </c>
      <c r="F11" s="5" t="s">
        <v>37</v>
      </c>
    </row>
    <row r="12" ht="101.5" spans="1:6">
      <c r="A12" s="4" t="s">
        <v>32</v>
      </c>
      <c r="B12" s="5" t="s">
        <v>38</v>
      </c>
      <c r="C12" s="5" t="s">
        <v>39</v>
      </c>
      <c r="D12" s="5" t="s">
        <v>40</v>
      </c>
      <c r="E12" s="5" t="s">
        <v>41</v>
      </c>
      <c r="F12" s="5" t="s">
        <v>42</v>
      </c>
    </row>
    <row r="13" ht="72.5" spans="1:6">
      <c r="A13" s="4" t="s">
        <v>32</v>
      </c>
      <c r="B13" s="5" t="s">
        <v>43</v>
      </c>
      <c r="C13" s="5" t="s">
        <v>44</v>
      </c>
      <c r="D13" s="5" t="s">
        <v>45</v>
      </c>
      <c r="E13" s="5" t="s">
        <v>46</v>
      </c>
      <c r="F13" s="5" t="s">
        <v>47</v>
      </c>
    </row>
    <row r="14" ht="72.5" spans="1:6">
      <c r="A14" s="4" t="s">
        <v>32</v>
      </c>
      <c r="B14" s="5" t="s">
        <v>48</v>
      </c>
      <c r="C14" s="5" t="s">
        <v>49</v>
      </c>
      <c r="D14" s="5" t="s">
        <v>50</v>
      </c>
      <c r="E14" s="5" t="s">
        <v>51</v>
      </c>
      <c r="F14" s="5" t="s">
        <v>52</v>
      </c>
    </row>
    <row r="15" ht="72.5" spans="1:6">
      <c r="A15" s="4" t="s">
        <v>32</v>
      </c>
      <c r="B15" s="5" t="s">
        <v>53</v>
      </c>
      <c r="C15" s="5" t="s">
        <v>49</v>
      </c>
      <c r="D15" s="5" t="s">
        <v>54</v>
      </c>
      <c r="E15" s="5" t="s">
        <v>55</v>
      </c>
      <c r="F15" s="5" t="s">
        <v>56</v>
      </c>
    </row>
    <row r="16" ht="72.5" spans="1:6">
      <c r="A16" s="4" t="s">
        <v>32</v>
      </c>
      <c r="B16" s="5" t="s">
        <v>57</v>
      </c>
      <c r="C16" s="5" t="s">
        <v>58</v>
      </c>
      <c r="D16" s="5" t="s">
        <v>59</v>
      </c>
      <c r="E16" s="5" t="s">
        <v>60</v>
      </c>
      <c r="F16" s="5" t="s">
        <v>61</v>
      </c>
    </row>
    <row r="17" ht="43.5" spans="1:6">
      <c r="A17" s="4" t="s">
        <v>62</v>
      </c>
      <c r="B17" s="5" t="s">
        <v>63</v>
      </c>
      <c r="C17" s="5" t="s">
        <v>64</v>
      </c>
      <c r="D17" s="5" t="s">
        <v>65</v>
      </c>
      <c r="E17" s="5" t="s">
        <v>66</v>
      </c>
      <c r="F17" s="5" t="s">
        <v>67</v>
      </c>
    </row>
    <row r="18" ht="58" spans="1:6">
      <c r="A18" s="4" t="s">
        <v>62</v>
      </c>
      <c r="B18" s="5" t="s">
        <v>68</v>
      </c>
      <c r="C18" s="5" t="s">
        <v>64</v>
      </c>
      <c r="D18" s="5" t="s">
        <v>69</v>
      </c>
      <c r="E18" s="5" t="s">
        <v>70</v>
      </c>
      <c r="F18" s="5" t="s">
        <v>71</v>
      </c>
    </row>
    <row r="19" ht="72.5" spans="1:6">
      <c r="A19" s="4" t="s">
        <v>62</v>
      </c>
      <c r="B19" s="5" t="s">
        <v>72</v>
      </c>
      <c r="C19" s="5" t="s">
        <v>64</v>
      </c>
      <c r="D19" s="5" t="s">
        <v>73</v>
      </c>
      <c r="E19" s="5" t="s">
        <v>74</v>
      </c>
      <c r="F19" s="5" t="s">
        <v>75</v>
      </c>
    </row>
    <row r="20" ht="87" spans="1:6">
      <c r="A20" s="4" t="s">
        <v>62</v>
      </c>
      <c r="B20" s="5" t="s">
        <v>76</v>
      </c>
      <c r="C20" s="5" t="s">
        <v>64</v>
      </c>
      <c r="D20" s="5" t="s">
        <v>77</v>
      </c>
      <c r="E20" s="5" t="s">
        <v>78</v>
      </c>
      <c r="F20" s="5" t="s">
        <v>79</v>
      </c>
    </row>
    <row r="21" ht="101.5" spans="1:6">
      <c r="A21" s="4" t="s">
        <v>80</v>
      </c>
      <c r="B21" s="5" t="s">
        <v>81</v>
      </c>
      <c r="C21" s="5" t="s">
        <v>64</v>
      </c>
      <c r="D21" s="5" t="s">
        <v>82</v>
      </c>
      <c r="E21" s="5" t="s">
        <v>83</v>
      </c>
      <c r="F21" s="5" t="s">
        <v>84</v>
      </c>
    </row>
    <row r="22" ht="101.5" spans="1:6">
      <c r="A22" s="4" t="s">
        <v>80</v>
      </c>
      <c r="B22" s="5" t="s">
        <v>85</v>
      </c>
      <c r="C22" s="5" t="s">
        <v>64</v>
      </c>
      <c r="D22" s="5" t="s">
        <v>86</v>
      </c>
      <c r="E22" s="5" t="s">
        <v>87</v>
      </c>
      <c r="F22" s="5" t="s">
        <v>88</v>
      </c>
    </row>
    <row r="23" ht="87" spans="1:6">
      <c r="A23" s="4" t="s">
        <v>80</v>
      </c>
      <c r="B23" s="5" t="s">
        <v>89</v>
      </c>
      <c r="C23" s="5" t="s">
        <v>64</v>
      </c>
      <c r="D23" s="5" t="s">
        <v>90</v>
      </c>
      <c r="E23" s="5" t="s">
        <v>91</v>
      </c>
      <c r="F23" s="5" t="s">
        <v>92</v>
      </c>
    </row>
    <row r="24" ht="101.5" spans="1:6">
      <c r="A24" s="4" t="s">
        <v>80</v>
      </c>
      <c r="B24" s="5" t="s">
        <v>93</v>
      </c>
      <c r="C24" s="5" t="s">
        <v>64</v>
      </c>
      <c r="D24" s="5" t="s">
        <v>94</v>
      </c>
      <c r="E24" s="5" t="s">
        <v>95</v>
      </c>
      <c r="F24" s="5" t="s">
        <v>96</v>
      </c>
    </row>
    <row r="25" ht="101.5" spans="1:6">
      <c r="A25" s="4" t="s">
        <v>80</v>
      </c>
      <c r="B25" s="5" t="s">
        <v>97</v>
      </c>
      <c r="C25" s="5" t="s">
        <v>64</v>
      </c>
      <c r="D25" s="5" t="s">
        <v>98</v>
      </c>
      <c r="E25" s="5" t="s">
        <v>99</v>
      </c>
      <c r="F25" s="5" t="s">
        <v>100</v>
      </c>
    </row>
  </sheetData>
  <mergeCells count="3">
    <mergeCell ref="A1:F1"/>
    <mergeCell ref="A2:F2"/>
    <mergeCell ref="B7:D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9"/>
  <sheetViews>
    <sheetView zoomScale="130" zoomScaleNormal="130" topLeftCell="A124" workbookViewId="0">
      <selection activeCell="C122" sqref="C122:C126"/>
    </sheetView>
  </sheetViews>
  <sheetFormatPr defaultColWidth="9" defaultRowHeight="14"/>
  <cols>
    <col min="1" max="1" width="22" customWidth="1"/>
    <col min="2" max="2" width="12" customWidth="1"/>
    <col min="3" max="3" width="16" customWidth="1"/>
    <col min="4" max="4" width="10" customWidth="1"/>
    <col min="5" max="5" width="30" customWidth="1"/>
    <col min="6" max="6" width="34" customWidth="1"/>
    <col min="7" max="7" width="28" customWidth="1"/>
    <col min="8" max="8" width="26" customWidth="1"/>
    <col min="9" max="9" width="28" customWidth="1"/>
    <col min="10" max="10" width="24" customWidth="1"/>
  </cols>
  <sheetData>
    <row r="1" ht="24" customHeight="1" spans="1:10">
      <c r="A1" s="1" t="s">
        <v>101</v>
      </c>
    </row>
    <row r="2" ht="14.5" spans="1:10">
      <c r="A2" s="3" t="s">
        <v>26</v>
      </c>
      <c r="B2" s="3" t="s">
        <v>102</v>
      </c>
      <c r="C2" s="3" t="s">
        <v>103</v>
      </c>
      <c r="D2" s="3" t="s">
        <v>104</v>
      </c>
      <c r="E2" s="3" t="s">
        <v>105</v>
      </c>
      <c r="F2" s="3" t="s">
        <v>106</v>
      </c>
      <c r="G2" s="3" t="s">
        <v>107</v>
      </c>
      <c r="H2" s="3" t="s">
        <v>108</v>
      </c>
      <c r="I2" s="3" t="s">
        <v>109</v>
      </c>
      <c r="J2" s="3" t="s">
        <v>110</v>
      </c>
    </row>
    <row r="3" ht="14.5" spans="1:10">
      <c r="A3" s="18" t="s">
        <v>111</v>
      </c>
      <c r="B3" s="19" t="s">
        <v>112</v>
      </c>
      <c r="C3" s="20"/>
      <c r="D3" s="20"/>
      <c r="E3" s="20"/>
      <c r="F3" s="20"/>
      <c r="G3" s="20"/>
      <c r="H3" s="20"/>
      <c r="I3" s="20"/>
      <c r="J3" s="20"/>
    </row>
    <row r="4" ht="52" spans="1:10">
      <c r="A4" s="10" t="s">
        <v>111</v>
      </c>
      <c r="B4" s="9" t="s">
        <v>112</v>
      </c>
      <c r="C4" s="9" t="s">
        <v>113</v>
      </c>
      <c r="D4" s="9">
        <v>1</v>
      </c>
      <c r="E4" s="10" t="s">
        <v>114</v>
      </c>
      <c r="F4" s="10" t="s">
        <v>115</v>
      </c>
      <c r="G4" s="10" t="s">
        <v>116</v>
      </c>
      <c r="H4" s="10" t="s">
        <v>117</v>
      </c>
      <c r="I4" s="10" t="s">
        <v>118</v>
      </c>
      <c r="J4" s="10" t="s">
        <v>119</v>
      </c>
    </row>
    <row r="5" ht="52" spans="1:10">
      <c r="A5" s="10" t="s">
        <v>111</v>
      </c>
      <c r="B5" s="9" t="s">
        <v>112</v>
      </c>
      <c r="C5" s="9" t="s">
        <v>113</v>
      </c>
      <c r="D5" s="9">
        <v>2</v>
      </c>
      <c r="E5" s="10" t="s">
        <v>120</v>
      </c>
      <c r="F5" s="10" t="s">
        <v>121</v>
      </c>
      <c r="G5" s="10" t="s">
        <v>122</v>
      </c>
      <c r="H5" s="10" t="s">
        <v>123</v>
      </c>
      <c r="I5" s="10" t="s">
        <v>124</v>
      </c>
      <c r="J5" s="10" t="s">
        <v>125</v>
      </c>
    </row>
    <row r="6" ht="52" spans="1:10">
      <c r="A6" s="10" t="s">
        <v>111</v>
      </c>
      <c r="B6" s="9" t="s">
        <v>112</v>
      </c>
      <c r="C6" s="9" t="s">
        <v>113</v>
      </c>
      <c r="D6" s="9">
        <v>3</v>
      </c>
      <c r="E6" s="10" t="s">
        <v>126</v>
      </c>
      <c r="F6" s="10" t="s">
        <v>127</v>
      </c>
      <c r="G6" s="10" t="s">
        <v>128</v>
      </c>
      <c r="H6" s="10" t="s">
        <v>129</v>
      </c>
      <c r="I6" s="10" t="s">
        <v>130</v>
      </c>
      <c r="J6" s="10" t="s">
        <v>131</v>
      </c>
    </row>
    <row r="7" ht="52" spans="1:10">
      <c r="A7" s="10" t="s">
        <v>111</v>
      </c>
      <c r="B7" s="9" t="s">
        <v>112</v>
      </c>
      <c r="C7" s="9" t="s">
        <v>113</v>
      </c>
      <c r="D7" s="9">
        <v>4</v>
      </c>
      <c r="E7" s="10" t="s">
        <v>132</v>
      </c>
      <c r="F7" s="10" t="s">
        <v>133</v>
      </c>
      <c r="G7" s="10" t="s">
        <v>134</v>
      </c>
      <c r="H7" s="10" t="s">
        <v>135</v>
      </c>
      <c r="I7" s="10" t="s">
        <v>136</v>
      </c>
      <c r="J7" s="10" t="s">
        <v>137</v>
      </c>
    </row>
    <row r="8" ht="52" spans="1:10">
      <c r="A8" s="10" t="s">
        <v>111</v>
      </c>
      <c r="B8" s="9" t="s">
        <v>112</v>
      </c>
      <c r="C8" s="9" t="s">
        <v>113</v>
      </c>
      <c r="D8" s="9">
        <v>5</v>
      </c>
      <c r="E8" s="10" t="s">
        <v>138</v>
      </c>
      <c r="F8" s="10" t="s">
        <v>139</v>
      </c>
      <c r="G8" s="10" t="s">
        <v>140</v>
      </c>
      <c r="H8" s="10" t="s">
        <v>141</v>
      </c>
      <c r="I8" s="10" t="s">
        <v>142</v>
      </c>
      <c r="J8" s="10" t="s">
        <v>143</v>
      </c>
    </row>
    <row r="9" ht="52" spans="1:10">
      <c r="A9" s="10" t="s">
        <v>111</v>
      </c>
      <c r="B9" s="9" t="s">
        <v>112</v>
      </c>
      <c r="C9" s="9" t="s">
        <v>113</v>
      </c>
      <c r="D9" s="9">
        <v>6</v>
      </c>
      <c r="E9" s="10" t="s">
        <v>144</v>
      </c>
      <c r="F9" s="10" t="s">
        <v>145</v>
      </c>
      <c r="G9" s="10" t="s">
        <v>146</v>
      </c>
      <c r="H9" s="10" t="s">
        <v>147</v>
      </c>
      <c r="I9" s="10" t="s">
        <v>148</v>
      </c>
      <c r="J9" s="10" t="s">
        <v>149</v>
      </c>
    </row>
    <row r="10" ht="52" spans="1:10">
      <c r="A10" s="10" t="s">
        <v>111</v>
      </c>
      <c r="B10" s="9" t="s">
        <v>112</v>
      </c>
      <c r="C10" s="9" t="s">
        <v>113</v>
      </c>
      <c r="D10" s="9">
        <v>7</v>
      </c>
      <c r="E10" s="10" t="s">
        <v>150</v>
      </c>
      <c r="F10" s="10" t="s">
        <v>151</v>
      </c>
      <c r="G10" s="10" t="s">
        <v>152</v>
      </c>
      <c r="H10" s="10" t="s">
        <v>153</v>
      </c>
      <c r="I10" s="10" t="s">
        <v>154</v>
      </c>
      <c r="J10" s="10" t="s">
        <v>155</v>
      </c>
    </row>
    <row r="11" ht="52" spans="1:10">
      <c r="A11" s="10" t="s">
        <v>111</v>
      </c>
      <c r="B11" s="9" t="s">
        <v>112</v>
      </c>
      <c r="C11" s="9" t="s">
        <v>113</v>
      </c>
      <c r="D11" s="9">
        <v>8</v>
      </c>
      <c r="E11" s="10" t="s">
        <v>156</v>
      </c>
      <c r="F11" s="10" t="s">
        <v>157</v>
      </c>
      <c r="G11" s="10" t="s">
        <v>158</v>
      </c>
      <c r="H11" s="10" t="s">
        <v>159</v>
      </c>
      <c r="I11" s="10" t="s">
        <v>160</v>
      </c>
      <c r="J11" s="10" t="s">
        <v>161</v>
      </c>
    </row>
    <row r="12" ht="52" spans="1:10">
      <c r="A12" s="10" t="s">
        <v>111</v>
      </c>
      <c r="B12" s="9" t="s">
        <v>112</v>
      </c>
      <c r="C12" s="9" t="s">
        <v>113</v>
      </c>
      <c r="D12" s="9">
        <v>9</v>
      </c>
      <c r="E12" s="10" t="s">
        <v>162</v>
      </c>
      <c r="F12" s="10" t="s">
        <v>163</v>
      </c>
      <c r="G12" s="10" t="s">
        <v>164</v>
      </c>
      <c r="H12" s="10" t="s">
        <v>165</v>
      </c>
      <c r="I12" s="10" t="s">
        <v>166</v>
      </c>
      <c r="J12" s="10" t="s">
        <v>167</v>
      </c>
    </row>
    <row r="13" ht="52" spans="1:10">
      <c r="A13" s="10" t="s">
        <v>111</v>
      </c>
      <c r="B13" s="9" t="s">
        <v>112</v>
      </c>
      <c r="C13" s="9" t="s">
        <v>113</v>
      </c>
      <c r="D13" s="9">
        <v>10</v>
      </c>
      <c r="E13" s="10" t="s">
        <v>168</v>
      </c>
      <c r="F13" s="10" t="s">
        <v>169</v>
      </c>
      <c r="G13" s="10" t="s">
        <v>170</v>
      </c>
      <c r="H13" s="10" t="s">
        <v>171</v>
      </c>
      <c r="I13" s="10" t="s">
        <v>172</v>
      </c>
      <c r="J13" s="10" t="s">
        <v>173</v>
      </c>
    </row>
    <row r="14" ht="52" spans="1:10">
      <c r="A14" s="10" t="s">
        <v>111</v>
      </c>
      <c r="B14" s="9" t="s">
        <v>112</v>
      </c>
      <c r="C14" s="9" t="s">
        <v>113</v>
      </c>
      <c r="D14" s="9">
        <v>11</v>
      </c>
      <c r="E14" s="10" t="s">
        <v>174</v>
      </c>
      <c r="F14" s="10" t="s">
        <v>175</v>
      </c>
      <c r="G14" s="10" t="s">
        <v>176</v>
      </c>
      <c r="H14" s="10" t="s">
        <v>177</v>
      </c>
      <c r="I14" s="10" t="s">
        <v>178</v>
      </c>
      <c r="J14" s="10" t="s">
        <v>179</v>
      </c>
    </row>
    <row r="15" ht="52" spans="1:10">
      <c r="A15" s="10" t="s">
        <v>111</v>
      </c>
      <c r="B15" s="9" t="s">
        <v>112</v>
      </c>
      <c r="C15" s="9" t="s">
        <v>113</v>
      </c>
      <c r="D15" s="9">
        <v>12</v>
      </c>
      <c r="E15" s="10" t="s">
        <v>180</v>
      </c>
      <c r="F15" s="10" t="s">
        <v>181</v>
      </c>
      <c r="G15" s="10" t="s">
        <v>182</v>
      </c>
      <c r="H15" s="10" t="s">
        <v>183</v>
      </c>
      <c r="I15" s="10" t="s">
        <v>184</v>
      </c>
      <c r="J15" s="10" t="s">
        <v>185</v>
      </c>
    </row>
    <row r="16" ht="52" spans="1:10">
      <c r="A16" s="10" t="s">
        <v>111</v>
      </c>
      <c r="B16" s="9" t="s">
        <v>112</v>
      </c>
      <c r="C16" s="9" t="s">
        <v>113</v>
      </c>
      <c r="D16" s="9">
        <v>13</v>
      </c>
      <c r="E16" s="10" t="s">
        <v>186</v>
      </c>
      <c r="F16" s="10" t="s">
        <v>187</v>
      </c>
      <c r="G16" s="10" t="s">
        <v>188</v>
      </c>
      <c r="H16" s="10" t="s">
        <v>189</v>
      </c>
      <c r="I16" s="10" t="s">
        <v>190</v>
      </c>
      <c r="J16" s="10" t="s">
        <v>191</v>
      </c>
    </row>
    <row r="17" ht="52" spans="1:10">
      <c r="A17" s="10" t="s">
        <v>111</v>
      </c>
      <c r="B17" s="9" t="s">
        <v>112</v>
      </c>
      <c r="C17" s="9" t="s">
        <v>113</v>
      </c>
      <c r="D17" s="9">
        <v>14</v>
      </c>
      <c r="E17" s="10" t="s">
        <v>192</v>
      </c>
      <c r="F17" s="10" t="s">
        <v>193</v>
      </c>
      <c r="G17" s="10" t="s">
        <v>194</v>
      </c>
      <c r="H17" s="10" t="s">
        <v>195</v>
      </c>
      <c r="I17" s="10" t="s">
        <v>196</v>
      </c>
      <c r="J17" s="10" t="s">
        <v>197</v>
      </c>
    </row>
    <row r="18" ht="52" spans="1:10">
      <c r="A18" s="10" t="s">
        <v>111</v>
      </c>
      <c r="B18" s="9" t="s">
        <v>112</v>
      </c>
      <c r="C18" s="9" t="s">
        <v>113</v>
      </c>
      <c r="D18" s="9">
        <v>15</v>
      </c>
      <c r="E18" s="10" t="s">
        <v>198</v>
      </c>
      <c r="F18" s="10" t="s">
        <v>199</v>
      </c>
      <c r="G18" s="10" t="s">
        <v>200</v>
      </c>
      <c r="H18" s="10" t="s">
        <v>201</v>
      </c>
      <c r="I18" s="10" t="s">
        <v>202</v>
      </c>
      <c r="J18" s="10" t="s">
        <v>203</v>
      </c>
    </row>
    <row r="19" ht="52" spans="1:10">
      <c r="A19" s="10" t="s">
        <v>111</v>
      </c>
      <c r="B19" s="9" t="s">
        <v>112</v>
      </c>
      <c r="C19" s="9" t="s">
        <v>113</v>
      </c>
      <c r="D19" s="9">
        <v>16</v>
      </c>
      <c r="E19" s="10" t="s">
        <v>204</v>
      </c>
      <c r="F19" s="10" t="s">
        <v>205</v>
      </c>
      <c r="G19" s="10" t="s">
        <v>206</v>
      </c>
      <c r="H19" s="10" t="s">
        <v>207</v>
      </c>
      <c r="I19" s="10" t="s">
        <v>208</v>
      </c>
      <c r="J19" s="10" t="s">
        <v>209</v>
      </c>
    </row>
    <row r="20" ht="52" spans="1:10">
      <c r="A20" s="10" t="s">
        <v>111</v>
      </c>
      <c r="B20" s="9" t="s">
        <v>112</v>
      </c>
      <c r="C20" s="9" t="s">
        <v>113</v>
      </c>
      <c r="D20" s="9">
        <v>17</v>
      </c>
      <c r="E20" s="10" t="s">
        <v>210</v>
      </c>
      <c r="F20" s="10" t="s">
        <v>211</v>
      </c>
      <c r="G20" s="10" t="s">
        <v>212</v>
      </c>
      <c r="H20" s="10" t="s">
        <v>213</v>
      </c>
      <c r="I20" s="10" t="s">
        <v>214</v>
      </c>
      <c r="J20" s="10" t="s">
        <v>215</v>
      </c>
    </row>
    <row r="21" ht="52" spans="1:10">
      <c r="A21" s="10" t="s">
        <v>111</v>
      </c>
      <c r="B21" s="9" t="s">
        <v>112</v>
      </c>
      <c r="C21" s="9" t="s">
        <v>113</v>
      </c>
      <c r="D21" s="9">
        <v>18</v>
      </c>
      <c r="E21" s="10" t="s">
        <v>216</v>
      </c>
      <c r="F21" s="10" t="s">
        <v>217</v>
      </c>
      <c r="G21" s="10" t="s">
        <v>218</v>
      </c>
      <c r="H21" s="10" t="s">
        <v>219</v>
      </c>
      <c r="I21" s="10" t="s">
        <v>220</v>
      </c>
      <c r="J21" s="10" t="s">
        <v>221</v>
      </c>
    </row>
    <row r="22" ht="52" spans="1:10">
      <c r="A22" s="10" t="s">
        <v>111</v>
      </c>
      <c r="B22" s="9" t="s">
        <v>112</v>
      </c>
      <c r="C22" s="9" t="s">
        <v>113</v>
      </c>
      <c r="D22" s="9">
        <v>19</v>
      </c>
      <c r="E22" s="10" t="s">
        <v>222</v>
      </c>
      <c r="F22" s="10" t="s">
        <v>223</v>
      </c>
      <c r="G22" s="10" t="s">
        <v>224</v>
      </c>
      <c r="H22" s="10" t="s">
        <v>225</v>
      </c>
      <c r="I22" s="10" t="s">
        <v>226</v>
      </c>
      <c r="J22" s="10" t="s">
        <v>227</v>
      </c>
    </row>
    <row r="23" ht="52" spans="1:10">
      <c r="A23" s="10" t="s">
        <v>111</v>
      </c>
      <c r="B23" s="9" t="s">
        <v>112</v>
      </c>
      <c r="C23" s="9" t="s">
        <v>113</v>
      </c>
      <c r="D23" s="9">
        <v>20</v>
      </c>
      <c r="E23" s="10" t="s">
        <v>228</v>
      </c>
      <c r="F23" s="10" t="s">
        <v>229</v>
      </c>
      <c r="G23" s="10" t="s">
        <v>230</v>
      </c>
      <c r="H23" s="10" t="s">
        <v>231</v>
      </c>
      <c r="I23" s="10" t="s">
        <v>232</v>
      </c>
      <c r="J23" s="10" t="s">
        <v>233</v>
      </c>
    </row>
    <row r="24" ht="14.5" spans="1:10">
      <c r="A24" s="18" t="s">
        <v>111</v>
      </c>
      <c r="B24" s="19" t="s">
        <v>234</v>
      </c>
      <c r="C24" s="20"/>
      <c r="D24" s="20"/>
      <c r="E24" s="20"/>
      <c r="F24" s="20"/>
      <c r="G24" s="20"/>
      <c r="H24" s="20"/>
      <c r="I24" s="20"/>
      <c r="J24" s="20"/>
    </row>
    <row r="25" ht="52" spans="1:10">
      <c r="A25" s="10" t="s">
        <v>111</v>
      </c>
      <c r="B25" s="9" t="s">
        <v>234</v>
      </c>
      <c r="C25" s="9" t="s">
        <v>113</v>
      </c>
      <c r="D25" s="9">
        <v>1</v>
      </c>
      <c r="E25" s="10" t="s">
        <v>235</v>
      </c>
      <c r="F25" s="10" t="s">
        <v>236</v>
      </c>
      <c r="G25" s="10" t="s">
        <v>237</v>
      </c>
      <c r="H25" s="10" t="s">
        <v>238</v>
      </c>
      <c r="I25" s="10" t="s">
        <v>239</v>
      </c>
      <c r="J25" s="10" t="s">
        <v>240</v>
      </c>
    </row>
    <row r="26" ht="52" spans="1:10">
      <c r="A26" s="10" t="s">
        <v>111</v>
      </c>
      <c r="B26" s="9" t="s">
        <v>234</v>
      </c>
      <c r="C26" s="9" t="s">
        <v>113</v>
      </c>
      <c r="D26" s="9">
        <v>2</v>
      </c>
      <c r="E26" s="10" t="s">
        <v>241</v>
      </c>
      <c r="F26" s="10" t="s">
        <v>242</v>
      </c>
      <c r="G26" s="10" t="s">
        <v>243</v>
      </c>
      <c r="H26" s="10" t="s">
        <v>244</v>
      </c>
      <c r="I26" s="10" t="s">
        <v>245</v>
      </c>
      <c r="J26" s="10" t="s">
        <v>246</v>
      </c>
    </row>
    <row r="27" ht="52" spans="1:10">
      <c r="A27" s="10" t="s">
        <v>111</v>
      </c>
      <c r="B27" s="9" t="s">
        <v>234</v>
      </c>
      <c r="C27" s="9" t="s">
        <v>113</v>
      </c>
      <c r="D27" s="9">
        <v>3</v>
      </c>
      <c r="E27" s="10" t="s">
        <v>247</v>
      </c>
      <c r="F27" s="10" t="s">
        <v>248</v>
      </c>
      <c r="G27" s="10" t="s">
        <v>249</v>
      </c>
      <c r="H27" s="10" t="s">
        <v>250</v>
      </c>
      <c r="I27" s="10" t="s">
        <v>251</v>
      </c>
      <c r="J27" s="10" t="s">
        <v>252</v>
      </c>
    </row>
    <row r="28" ht="52" spans="1:10">
      <c r="A28" s="10" t="s">
        <v>111</v>
      </c>
      <c r="B28" s="9" t="s">
        <v>234</v>
      </c>
      <c r="C28" s="9" t="s">
        <v>113</v>
      </c>
      <c r="D28" s="9">
        <v>4</v>
      </c>
      <c r="E28" s="10" t="s">
        <v>253</v>
      </c>
      <c r="F28" s="10" t="s">
        <v>254</v>
      </c>
      <c r="G28" s="10" t="s">
        <v>255</v>
      </c>
      <c r="H28" s="10" t="s">
        <v>256</v>
      </c>
      <c r="I28" s="10" t="s">
        <v>257</v>
      </c>
      <c r="J28" s="10" t="s">
        <v>258</v>
      </c>
    </row>
    <row r="29" ht="52" spans="1:10">
      <c r="A29" s="10" t="s">
        <v>111</v>
      </c>
      <c r="B29" s="9" t="s">
        <v>234</v>
      </c>
      <c r="C29" s="9" t="s">
        <v>113</v>
      </c>
      <c r="D29" s="9">
        <v>5</v>
      </c>
      <c r="E29" s="10" t="s">
        <v>259</v>
      </c>
      <c r="F29" s="10" t="s">
        <v>260</v>
      </c>
      <c r="G29" s="10" t="s">
        <v>261</v>
      </c>
      <c r="H29" s="10" t="s">
        <v>262</v>
      </c>
      <c r="I29" s="10" t="s">
        <v>263</v>
      </c>
      <c r="J29" s="10" t="s">
        <v>264</v>
      </c>
    </row>
    <row r="30" ht="52" spans="1:10">
      <c r="A30" s="10" t="s">
        <v>111</v>
      </c>
      <c r="B30" s="9" t="s">
        <v>234</v>
      </c>
      <c r="C30" s="9" t="s">
        <v>113</v>
      </c>
      <c r="D30" s="9">
        <v>6</v>
      </c>
      <c r="E30" s="10" t="s">
        <v>265</v>
      </c>
      <c r="F30" s="10" t="s">
        <v>266</v>
      </c>
      <c r="G30" s="10" t="s">
        <v>267</v>
      </c>
      <c r="H30" s="10" t="s">
        <v>268</v>
      </c>
      <c r="I30" s="10" t="s">
        <v>269</v>
      </c>
      <c r="J30" s="10" t="s">
        <v>270</v>
      </c>
    </row>
    <row r="31" ht="52" spans="1:10">
      <c r="A31" s="10" t="s">
        <v>111</v>
      </c>
      <c r="B31" s="9" t="s">
        <v>234</v>
      </c>
      <c r="C31" s="9" t="s">
        <v>113</v>
      </c>
      <c r="D31" s="9">
        <v>7</v>
      </c>
      <c r="E31" s="10" t="s">
        <v>271</v>
      </c>
      <c r="F31" s="10" t="s">
        <v>272</v>
      </c>
      <c r="G31" s="10" t="s">
        <v>273</v>
      </c>
      <c r="H31" s="10" t="s">
        <v>274</v>
      </c>
      <c r="I31" s="10" t="s">
        <v>275</v>
      </c>
      <c r="J31" s="10" t="s">
        <v>276</v>
      </c>
    </row>
    <row r="32" ht="52" spans="1:10">
      <c r="A32" s="10" t="s">
        <v>111</v>
      </c>
      <c r="B32" s="9" t="s">
        <v>234</v>
      </c>
      <c r="C32" s="9" t="s">
        <v>113</v>
      </c>
      <c r="D32" s="9">
        <v>8</v>
      </c>
      <c r="E32" s="10" t="s">
        <v>277</v>
      </c>
      <c r="F32" s="10" t="s">
        <v>278</v>
      </c>
      <c r="G32" s="10" t="s">
        <v>279</v>
      </c>
      <c r="H32" s="10" t="s">
        <v>280</v>
      </c>
      <c r="I32" s="10" t="s">
        <v>281</v>
      </c>
      <c r="J32" s="10" t="s">
        <v>282</v>
      </c>
    </row>
    <row r="33" ht="52" spans="1:10">
      <c r="A33" s="10" t="s">
        <v>111</v>
      </c>
      <c r="B33" s="9" t="s">
        <v>234</v>
      </c>
      <c r="C33" s="9" t="s">
        <v>113</v>
      </c>
      <c r="D33" s="9">
        <v>9</v>
      </c>
      <c r="E33" s="10" t="s">
        <v>283</v>
      </c>
      <c r="F33" s="10" t="s">
        <v>284</v>
      </c>
      <c r="G33" s="10" t="s">
        <v>285</v>
      </c>
      <c r="H33" s="10" t="s">
        <v>286</v>
      </c>
      <c r="I33" s="10" t="s">
        <v>287</v>
      </c>
      <c r="J33" s="10" t="s">
        <v>288</v>
      </c>
    </row>
    <row r="34" ht="52" spans="1:10">
      <c r="A34" s="10" t="s">
        <v>111</v>
      </c>
      <c r="B34" s="9" t="s">
        <v>234</v>
      </c>
      <c r="C34" s="9" t="s">
        <v>113</v>
      </c>
      <c r="D34" s="9">
        <v>10</v>
      </c>
      <c r="E34" s="10" t="s">
        <v>289</v>
      </c>
      <c r="F34" s="10" t="s">
        <v>290</v>
      </c>
      <c r="G34" s="10" t="s">
        <v>291</v>
      </c>
      <c r="H34" s="10" t="s">
        <v>286</v>
      </c>
      <c r="I34" s="10" t="s">
        <v>292</v>
      </c>
      <c r="J34" s="10" t="s">
        <v>293</v>
      </c>
    </row>
    <row r="35" ht="52" spans="1:10">
      <c r="A35" s="10" t="s">
        <v>111</v>
      </c>
      <c r="B35" s="9" t="s">
        <v>234</v>
      </c>
      <c r="C35" s="9" t="s">
        <v>113</v>
      </c>
      <c r="D35" s="9">
        <v>11</v>
      </c>
      <c r="E35" s="10" t="s">
        <v>294</v>
      </c>
      <c r="F35" s="10" t="s">
        <v>295</v>
      </c>
      <c r="G35" s="10" t="s">
        <v>296</v>
      </c>
      <c r="H35" s="10" t="s">
        <v>297</v>
      </c>
      <c r="I35" s="10" t="s">
        <v>298</v>
      </c>
      <c r="J35" s="10" t="s">
        <v>299</v>
      </c>
    </row>
    <row r="36" ht="52" spans="1:10">
      <c r="A36" s="10" t="s">
        <v>111</v>
      </c>
      <c r="B36" s="9" t="s">
        <v>234</v>
      </c>
      <c r="C36" s="9" t="s">
        <v>113</v>
      </c>
      <c r="D36" s="9">
        <v>12</v>
      </c>
      <c r="E36" s="10" t="s">
        <v>300</v>
      </c>
      <c r="F36" s="10" t="s">
        <v>301</v>
      </c>
      <c r="G36" s="10" t="s">
        <v>302</v>
      </c>
      <c r="H36" s="10" t="s">
        <v>303</v>
      </c>
      <c r="I36" s="10" t="s">
        <v>304</v>
      </c>
      <c r="J36" s="10" t="s">
        <v>305</v>
      </c>
    </row>
    <row r="37" ht="14.5" spans="1:10">
      <c r="A37" s="18" t="s">
        <v>111</v>
      </c>
      <c r="B37" s="19" t="s">
        <v>306</v>
      </c>
      <c r="C37" s="20"/>
      <c r="D37" s="20"/>
      <c r="E37" s="20"/>
      <c r="F37" s="20"/>
      <c r="G37" s="20"/>
      <c r="H37" s="20"/>
      <c r="I37" s="20"/>
      <c r="J37" s="20"/>
    </row>
    <row r="38" ht="52" spans="1:10">
      <c r="A38" s="10" t="s">
        <v>111</v>
      </c>
      <c r="B38" s="9" t="s">
        <v>306</v>
      </c>
      <c r="C38" s="9" t="s">
        <v>113</v>
      </c>
      <c r="D38" s="9">
        <v>1</v>
      </c>
      <c r="E38" s="10" t="s">
        <v>307</v>
      </c>
      <c r="F38" s="10" t="s">
        <v>308</v>
      </c>
      <c r="G38" s="10" t="s">
        <v>309</v>
      </c>
      <c r="H38" s="10" t="s">
        <v>310</v>
      </c>
      <c r="I38" s="10" t="s">
        <v>311</v>
      </c>
      <c r="J38" s="10" t="s">
        <v>312</v>
      </c>
    </row>
    <row r="39" ht="52" spans="1:10">
      <c r="A39" s="10" t="s">
        <v>111</v>
      </c>
      <c r="B39" s="9" t="s">
        <v>306</v>
      </c>
      <c r="C39" s="9" t="s">
        <v>113</v>
      </c>
      <c r="D39" s="9">
        <v>2</v>
      </c>
      <c r="E39" s="10" t="s">
        <v>313</v>
      </c>
      <c r="F39" s="10" t="s">
        <v>314</v>
      </c>
      <c r="G39" s="10" t="s">
        <v>309</v>
      </c>
      <c r="H39" s="10" t="s">
        <v>315</v>
      </c>
      <c r="I39" s="10" t="s">
        <v>316</v>
      </c>
      <c r="J39" s="10" t="s">
        <v>317</v>
      </c>
    </row>
    <row r="40" ht="52" spans="1:10">
      <c r="A40" s="10" t="s">
        <v>111</v>
      </c>
      <c r="B40" s="9" t="s">
        <v>306</v>
      </c>
      <c r="C40" s="9" t="s">
        <v>113</v>
      </c>
      <c r="D40" s="9">
        <v>3</v>
      </c>
      <c r="E40" s="10" t="s">
        <v>318</v>
      </c>
      <c r="F40" s="10" t="s">
        <v>319</v>
      </c>
      <c r="G40" s="10" t="s">
        <v>309</v>
      </c>
      <c r="H40" s="10" t="s">
        <v>320</v>
      </c>
      <c r="I40" s="10" t="s">
        <v>321</v>
      </c>
      <c r="J40" s="10" t="s">
        <v>322</v>
      </c>
    </row>
    <row r="41" ht="52" spans="1:10">
      <c r="A41" s="10" t="s">
        <v>111</v>
      </c>
      <c r="B41" s="9" t="s">
        <v>306</v>
      </c>
      <c r="C41" s="9" t="s">
        <v>113</v>
      </c>
      <c r="D41" s="9">
        <v>4</v>
      </c>
      <c r="E41" s="10" t="s">
        <v>323</v>
      </c>
      <c r="F41" s="10" t="s">
        <v>324</v>
      </c>
      <c r="G41" s="10" t="s">
        <v>325</v>
      </c>
      <c r="H41" s="10" t="s">
        <v>326</v>
      </c>
      <c r="I41" s="10" t="s">
        <v>327</v>
      </c>
      <c r="J41" s="10" t="s">
        <v>328</v>
      </c>
    </row>
    <row r="42" ht="52" spans="1:10">
      <c r="A42" s="10" t="s">
        <v>111</v>
      </c>
      <c r="B42" s="9" t="s">
        <v>306</v>
      </c>
      <c r="C42" s="9" t="s">
        <v>113</v>
      </c>
      <c r="D42" s="9">
        <v>5</v>
      </c>
      <c r="E42" s="10" t="s">
        <v>329</v>
      </c>
      <c r="F42" s="10" t="s">
        <v>330</v>
      </c>
      <c r="G42" s="10" t="s">
        <v>331</v>
      </c>
      <c r="H42" s="10" t="s">
        <v>332</v>
      </c>
      <c r="I42" s="10" t="s">
        <v>333</v>
      </c>
      <c r="J42" s="10" t="s">
        <v>334</v>
      </c>
    </row>
    <row r="43" ht="65" spans="1:10">
      <c r="A43" s="10" t="s">
        <v>111</v>
      </c>
      <c r="B43" s="9" t="s">
        <v>306</v>
      </c>
      <c r="C43" s="9" t="s">
        <v>113</v>
      </c>
      <c r="D43" s="9">
        <v>6</v>
      </c>
      <c r="E43" s="10" t="s">
        <v>335</v>
      </c>
      <c r="F43" s="10" t="s">
        <v>336</v>
      </c>
      <c r="G43" s="10" t="s">
        <v>337</v>
      </c>
      <c r="H43" s="10" t="s">
        <v>338</v>
      </c>
      <c r="I43" s="10" t="s">
        <v>339</v>
      </c>
      <c r="J43" s="10" t="s">
        <v>340</v>
      </c>
    </row>
    <row r="44" ht="14.5" spans="1:10">
      <c r="A44" s="18" t="s">
        <v>111</v>
      </c>
      <c r="B44" s="19" t="s">
        <v>341</v>
      </c>
      <c r="C44" s="20"/>
      <c r="D44" s="20"/>
      <c r="E44" s="20"/>
      <c r="F44" s="20"/>
      <c r="G44" s="20"/>
      <c r="H44" s="20"/>
      <c r="I44" s="20"/>
      <c r="J44" s="20"/>
    </row>
    <row r="45" ht="39" spans="1:10">
      <c r="A45" s="10" t="s">
        <v>111</v>
      </c>
      <c r="B45" s="9" t="s">
        <v>341</v>
      </c>
      <c r="C45" s="9" t="s">
        <v>113</v>
      </c>
      <c r="D45" s="9">
        <v>1</v>
      </c>
      <c r="E45" s="10" t="s">
        <v>342</v>
      </c>
      <c r="F45" s="10" t="s">
        <v>343</v>
      </c>
      <c r="G45" s="10" t="s">
        <v>344</v>
      </c>
      <c r="H45" s="10" t="s">
        <v>345</v>
      </c>
      <c r="I45" s="10" t="s">
        <v>346</v>
      </c>
      <c r="J45" s="10" t="s">
        <v>347</v>
      </c>
    </row>
    <row r="46" ht="52" spans="1:10">
      <c r="A46" s="10" t="s">
        <v>111</v>
      </c>
      <c r="B46" s="9" t="s">
        <v>341</v>
      </c>
      <c r="C46" s="9" t="s">
        <v>113</v>
      </c>
      <c r="D46" s="9">
        <v>2</v>
      </c>
      <c r="E46" s="10" t="s">
        <v>348</v>
      </c>
      <c r="F46" s="10" t="s">
        <v>349</v>
      </c>
      <c r="G46" s="10" t="s">
        <v>350</v>
      </c>
      <c r="H46" s="10" t="s">
        <v>351</v>
      </c>
      <c r="I46" s="10" t="s">
        <v>352</v>
      </c>
      <c r="J46" s="10" t="s">
        <v>353</v>
      </c>
    </row>
    <row r="47" ht="52" spans="1:10">
      <c r="A47" s="10" t="s">
        <v>111</v>
      </c>
      <c r="B47" s="9" t="s">
        <v>341</v>
      </c>
      <c r="C47" s="9" t="s">
        <v>113</v>
      </c>
      <c r="D47" s="9">
        <v>3</v>
      </c>
      <c r="E47" s="10" t="s">
        <v>354</v>
      </c>
      <c r="F47" s="10" t="s">
        <v>355</v>
      </c>
      <c r="G47" s="10" t="s">
        <v>356</v>
      </c>
      <c r="H47" s="10" t="s">
        <v>357</v>
      </c>
      <c r="I47" s="10" t="s">
        <v>358</v>
      </c>
      <c r="J47" s="10" t="s">
        <v>359</v>
      </c>
    </row>
    <row r="48" ht="39" spans="1:10">
      <c r="A48" s="10" t="s">
        <v>111</v>
      </c>
      <c r="B48" s="9" t="s">
        <v>341</v>
      </c>
      <c r="C48" s="9" t="s">
        <v>113</v>
      </c>
      <c r="D48" s="9">
        <v>4</v>
      </c>
      <c r="E48" s="10" t="s">
        <v>360</v>
      </c>
      <c r="F48" s="10" t="s">
        <v>361</v>
      </c>
      <c r="G48" s="10" t="s">
        <v>356</v>
      </c>
      <c r="H48" s="10" t="s">
        <v>362</v>
      </c>
      <c r="I48" s="10" t="s">
        <v>363</v>
      </c>
      <c r="J48" s="10" t="s">
        <v>364</v>
      </c>
    </row>
    <row r="49" ht="39" spans="1:10">
      <c r="A49" s="10" t="s">
        <v>111</v>
      </c>
      <c r="B49" s="9" t="s">
        <v>341</v>
      </c>
      <c r="C49" s="9" t="s">
        <v>113</v>
      </c>
      <c r="D49" s="9">
        <v>5</v>
      </c>
      <c r="E49" s="10" t="s">
        <v>365</v>
      </c>
      <c r="F49" s="10" t="s">
        <v>366</v>
      </c>
      <c r="G49" s="10" t="s">
        <v>356</v>
      </c>
      <c r="H49" s="10" t="s">
        <v>367</v>
      </c>
      <c r="I49" s="10" t="s">
        <v>368</v>
      </c>
      <c r="J49" s="10" t="s">
        <v>369</v>
      </c>
    </row>
    <row r="50" ht="39" spans="1:10">
      <c r="A50" s="10" t="s">
        <v>111</v>
      </c>
      <c r="B50" s="9" t="s">
        <v>341</v>
      </c>
      <c r="C50" s="9" t="s">
        <v>113</v>
      </c>
      <c r="D50" s="9">
        <v>6</v>
      </c>
      <c r="E50" s="10" t="s">
        <v>370</v>
      </c>
      <c r="F50" s="10" t="s">
        <v>371</v>
      </c>
      <c r="G50" s="10" t="s">
        <v>356</v>
      </c>
      <c r="H50" s="10" t="s">
        <v>372</v>
      </c>
      <c r="I50" s="10" t="s">
        <v>373</v>
      </c>
      <c r="J50" s="10" t="s">
        <v>374</v>
      </c>
    </row>
    <row r="51" ht="52" spans="1:10">
      <c r="A51" s="10" t="s">
        <v>111</v>
      </c>
      <c r="B51" s="9" t="s">
        <v>341</v>
      </c>
      <c r="C51" s="9" t="s">
        <v>113</v>
      </c>
      <c r="D51" s="9">
        <v>7</v>
      </c>
      <c r="E51" s="10" t="s">
        <v>375</v>
      </c>
      <c r="F51" s="10" t="s">
        <v>376</v>
      </c>
      <c r="G51" s="10" t="s">
        <v>377</v>
      </c>
      <c r="H51" s="10" t="s">
        <v>378</v>
      </c>
      <c r="I51" s="10" t="s">
        <v>379</v>
      </c>
      <c r="J51" s="10" t="s">
        <v>380</v>
      </c>
    </row>
    <row r="52" ht="14.5" spans="1:10">
      <c r="A52" s="18" t="s">
        <v>111</v>
      </c>
      <c r="B52" s="19" t="s">
        <v>381</v>
      </c>
      <c r="C52" s="20"/>
      <c r="D52" s="20"/>
      <c r="E52" s="20"/>
      <c r="F52" s="20"/>
      <c r="G52" s="20"/>
      <c r="H52" s="20"/>
      <c r="I52" s="20"/>
      <c r="J52" s="20"/>
    </row>
    <row r="53" ht="65" spans="1:10">
      <c r="A53" s="10" t="s">
        <v>111</v>
      </c>
      <c r="B53" s="9" t="s">
        <v>381</v>
      </c>
      <c r="C53" s="9" t="s">
        <v>113</v>
      </c>
      <c r="D53" s="9">
        <v>1</v>
      </c>
      <c r="E53" s="10" t="s">
        <v>382</v>
      </c>
      <c r="F53" s="10" t="s">
        <v>383</v>
      </c>
      <c r="G53" s="10" t="s">
        <v>384</v>
      </c>
      <c r="H53" s="10" t="s">
        <v>385</v>
      </c>
      <c r="I53" s="10" t="s">
        <v>386</v>
      </c>
      <c r="J53" s="10" t="s">
        <v>387</v>
      </c>
    </row>
    <row r="54" ht="52" spans="1:10">
      <c r="A54" s="10" t="s">
        <v>111</v>
      </c>
      <c r="B54" s="9" t="s">
        <v>381</v>
      </c>
      <c r="C54" s="9" t="s">
        <v>113</v>
      </c>
      <c r="D54" s="9">
        <v>2</v>
      </c>
      <c r="E54" s="10" t="s">
        <v>388</v>
      </c>
      <c r="F54" s="10" t="s">
        <v>389</v>
      </c>
      <c r="G54" s="10" t="s">
        <v>390</v>
      </c>
      <c r="H54" s="10" t="s">
        <v>391</v>
      </c>
      <c r="I54" s="10" t="s">
        <v>392</v>
      </c>
      <c r="J54" s="10" t="s">
        <v>393</v>
      </c>
    </row>
    <row r="55" ht="78" spans="1:10">
      <c r="A55" s="10" t="s">
        <v>111</v>
      </c>
      <c r="B55" s="9" t="s">
        <v>381</v>
      </c>
      <c r="C55" s="9" t="s">
        <v>113</v>
      </c>
      <c r="D55" s="9">
        <v>3</v>
      </c>
      <c r="E55" s="10" t="s">
        <v>394</v>
      </c>
      <c r="F55" s="10" t="s">
        <v>395</v>
      </c>
      <c r="G55" s="10" t="s">
        <v>396</v>
      </c>
      <c r="H55" s="10" t="s">
        <v>397</v>
      </c>
      <c r="I55" s="10" t="s">
        <v>398</v>
      </c>
      <c r="J55" s="10" t="s">
        <v>399</v>
      </c>
    </row>
    <row r="56" ht="52" spans="1:10">
      <c r="A56" s="10" t="s">
        <v>111</v>
      </c>
      <c r="B56" s="9" t="s">
        <v>381</v>
      </c>
      <c r="C56" s="9" t="s">
        <v>113</v>
      </c>
      <c r="D56" s="9">
        <v>4</v>
      </c>
      <c r="E56" s="10" t="s">
        <v>400</v>
      </c>
      <c r="F56" s="10" t="s">
        <v>401</v>
      </c>
      <c r="G56" s="10" t="s">
        <v>402</v>
      </c>
      <c r="H56" s="10" t="s">
        <v>403</v>
      </c>
      <c r="I56" s="10" t="s">
        <v>404</v>
      </c>
      <c r="J56" s="10" t="s">
        <v>405</v>
      </c>
    </row>
    <row r="57" ht="52" spans="1:10">
      <c r="A57" s="10" t="s">
        <v>111</v>
      </c>
      <c r="B57" s="9" t="s">
        <v>381</v>
      </c>
      <c r="C57" s="9" t="s">
        <v>113</v>
      </c>
      <c r="D57" s="9">
        <v>5</v>
      </c>
      <c r="E57" s="10" t="s">
        <v>406</v>
      </c>
      <c r="F57" s="10" t="s">
        <v>407</v>
      </c>
      <c r="G57" s="10" t="s">
        <v>408</v>
      </c>
      <c r="H57" s="10" t="s">
        <v>409</v>
      </c>
      <c r="I57" s="10" t="s">
        <v>410</v>
      </c>
      <c r="J57" s="10" t="s">
        <v>411</v>
      </c>
    </row>
    <row r="58" ht="52" spans="1:10">
      <c r="A58" s="10" t="s">
        <v>111</v>
      </c>
      <c r="B58" s="9" t="s">
        <v>381</v>
      </c>
      <c r="C58" s="9" t="s">
        <v>113</v>
      </c>
      <c r="D58" s="9">
        <v>6</v>
      </c>
      <c r="E58" s="10" t="s">
        <v>412</v>
      </c>
      <c r="F58" s="10" t="s">
        <v>413</v>
      </c>
      <c r="G58" s="10" t="s">
        <v>414</v>
      </c>
      <c r="H58" s="10" t="s">
        <v>415</v>
      </c>
      <c r="I58" s="10" t="s">
        <v>416</v>
      </c>
      <c r="J58" s="10" t="s">
        <v>417</v>
      </c>
    </row>
    <row r="59" ht="65" spans="1:10">
      <c r="A59" s="10" t="s">
        <v>111</v>
      </c>
      <c r="B59" s="9" t="s">
        <v>381</v>
      </c>
      <c r="C59" s="9" t="s">
        <v>113</v>
      </c>
      <c r="D59" s="9">
        <v>7</v>
      </c>
      <c r="E59" s="10" t="s">
        <v>418</v>
      </c>
      <c r="F59" s="10" t="s">
        <v>419</v>
      </c>
      <c r="G59" s="10" t="s">
        <v>420</v>
      </c>
      <c r="H59" s="10" t="s">
        <v>421</v>
      </c>
      <c r="I59" s="10" t="s">
        <v>422</v>
      </c>
      <c r="J59" s="10" t="s">
        <v>423</v>
      </c>
    </row>
    <row r="60" ht="14.5" spans="1:10">
      <c r="A60" s="18" t="s">
        <v>111</v>
      </c>
      <c r="B60" s="19" t="s">
        <v>424</v>
      </c>
      <c r="C60" s="20"/>
      <c r="D60" s="20"/>
      <c r="E60" s="20"/>
      <c r="F60" s="20"/>
      <c r="G60" s="20"/>
      <c r="H60" s="20"/>
      <c r="I60" s="20"/>
      <c r="J60" s="20"/>
    </row>
    <row r="61" ht="39" spans="1:10">
      <c r="A61" s="10" t="s">
        <v>111</v>
      </c>
      <c r="B61" s="9" t="s">
        <v>424</v>
      </c>
      <c r="C61" s="9" t="s">
        <v>113</v>
      </c>
      <c r="D61" s="9">
        <v>1</v>
      </c>
      <c r="E61" s="10" t="s">
        <v>425</v>
      </c>
      <c r="F61" s="10" t="s">
        <v>426</v>
      </c>
      <c r="G61" s="10" t="s">
        <v>427</v>
      </c>
      <c r="H61" s="10" t="s">
        <v>428</v>
      </c>
      <c r="I61" s="10" t="s">
        <v>429</v>
      </c>
      <c r="J61" s="10" t="s">
        <v>430</v>
      </c>
    </row>
    <row r="62" ht="39" spans="1:10">
      <c r="A62" s="10" t="s">
        <v>111</v>
      </c>
      <c r="B62" s="9" t="s">
        <v>424</v>
      </c>
      <c r="C62" s="9" t="s">
        <v>113</v>
      </c>
      <c r="D62" s="9">
        <v>2</v>
      </c>
      <c r="E62" s="10" t="s">
        <v>431</v>
      </c>
      <c r="F62" s="10" t="s">
        <v>432</v>
      </c>
      <c r="G62" s="10" t="s">
        <v>433</v>
      </c>
      <c r="H62" s="10" t="s">
        <v>434</v>
      </c>
      <c r="I62" s="10" t="s">
        <v>435</v>
      </c>
      <c r="J62" s="10" t="s">
        <v>436</v>
      </c>
    </row>
    <row r="63" ht="78" spans="1:10">
      <c r="A63" s="10" t="s">
        <v>111</v>
      </c>
      <c r="B63" s="9" t="s">
        <v>424</v>
      </c>
      <c r="C63" s="9" t="s">
        <v>113</v>
      </c>
      <c r="D63" s="9">
        <v>3</v>
      </c>
      <c r="E63" s="10" t="s">
        <v>437</v>
      </c>
      <c r="F63" s="10" t="s">
        <v>438</v>
      </c>
      <c r="G63" s="10" t="s">
        <v>433</v>
      </c>
      <c r="H63" s="10" t="s">
        <v>439</v>
      </c>
      <c r="I63" s="10" t="s">
        <v>440</v>
      </c>
      <c r="J63" s="10" t="s">
        <v>441</v>
      </c>
    </row>
    <row r="64" ht="52" spans="1:10">
      <c r="A64" s="10" t="s">
        <v>111</v>
      </c>
      <c r="B64" s="9" t="s">
        <v>424</v>
      </c>
      <c r="C64" s="9" t="s">
        <v>113</v>
      </c>
      <c r="D64" s="9">
        <v>4</v>
      </c>
      <c r="E64" s="10" t="s">
        <v>442</v>
      </c>
      <c r="F64" s="10" t="s">
        <v>443</v>
      </c>
      <c r="G64" s="10" t="s">
        <v>444</v>
      </c>
      <c r="H64" s="10" t="s">
        <v>445</v>
      </c>
      <c r="I64" s="10" t="s">
        <v>446</v>
      </c>
      <c r="J64" s="10" t="s">
        <v>447</v>
      </c>
    </row>
    <row r="65" ht="52" spans="1:10">
      <c r="A65" s="10" t="s">
        <v>111</v>
      </c>
      <c r="B65" s="9" t="s">
        <v>424</v>
      </c>
      <c r="C65" s="9" t="s">
        <v>113</v>
      </c>
      <c r="D65" s="9">
        <v>5</v>
      </c>
      <c r="E65" s="10" t="s">
        <v>448</v>
      </c>
      <c r="F65" s="10" t="s">
        <v>449</v>
      </c>
      <c r="G65" s="10" t="s">
        <v>450</v>
      </c>
      <c r="H65" s="10" t="s">
        <v>451</v>
      </c>
      <c r="I65" s="10" t="s">
        <v>452</v>
      </c>
      <c r="J65" s="10" t="s">
        <v>453</v>
      </c>
    </row>
    <row r="66" ht="39" spans="1:10">
      <c r="A66" s="10" t="s">
        <v>111</v>
      </c>
      <c r="B66" s="9" t="s">
        <v>424</v>
      </c>
      <c r="C66" s="9" t="s">
        <v>113</v>
      </c>
      <c r="D66" s="9">
        <v>6</v>
      </c>
      <c r="E66" s="10" t="s">
        <v>454</v>
      </c>
      <c r="F66" s="10" t="s">
        <v>455</v>
      </c>
      <c r="G66" s="10" t="s">
        <v>456</v>
      </c>
      <c r="H66" s="10" t="s">
        <v>457</v>
      </c>
      <c r="I66" s="10" t="s">
        <v>458</v>
      </c>
      <c r="J66" s="10" t="s">
        <v>459</v>
      </c>
    </row>
    <row r="67" ht="78" spans="1:10">
      <c r="A67" s="10" t="s">
        <v>111</v>
      </c>
      <c r="B67" s="9" t="s">
        <v>424</v>
      </c>
      <c r="C67" s="9" t="s">
        <v>113</v>
      </c>
      <c r="D67" s="9">
        <v>7</v>
      </c>
      <c r="E67" s="10" t="s">
        <v>460</v>
      </c>
      <c r="F67" s="10" t="s">
        <v>461</v>
      </c>
      <c r="G67" s="10" t="s">
        <v>462</v>
      </c>
      <c r="H67" s="10" t="s">
        <v>463</v>
      </c>
      <c r="I67" s="10" t="s">
        <v>464</v>
      </c>
      <c r="J67" s="10" t="s">
        <v>465</v>
      </c>
    </row>
    <row r="68" ht="91" spans="1:10">
      <c r="A68" s="10" t="s">
        <v>111</v>
      </c>
      <c r="B68" s="9" t="s">
        <v>424</v>
      </c>
      <c r="C68" s="9" t="s">
        <v>113</v>
      </c>
      <c r="D68" s="9">
        <v>8</v>
      </c>
      <c r="E68" s="10" t="s">
        <v>466</v>
      </c>
      <c r="F68" s="10" t="s">
        <v>467</v>
      </c>
      <c r="G68" s="10" t="s">
        <v>468</v>
      </c>
      <c r="H68" s="10" t="s">
        <v>469</v>
      </c>
      <c r="I68" s="10" t="s">
        <v>470</v>
      </c>
      <c r="J68" s="10" t="s">
        <v>471</v>
      </c>
    </row>
    <row r="69" ht="65" spans="1:10">
      <c r="A69" s="10" t="s">
        <v>111</v>
      </c>
      <c r="B69" s="9" t="s">
        <v>424</v>
      </c>
      <c r="C69" s="9" t="s">
        <v>113</v>
      </c>
      <c r="D69" s="9">
        <v>9</v>
      </c>
      <c r="E69" s="10" t="s">
        <v>472</v>
      </c>
      <c r="F69" s="10" t="s">
        <v>473</v>
      </c>
      <c r="G69" s="10" t="s">
        <v>433</v>
      </c>
      <c r="H69" s="10" t="s">
        <v>474</v>
      </c>
      <c r="I69" s="10" t="s">
        <v>475</v>
      </c>
      <c r="J69" s="10" t="s">
        <v>476</v>
      </c>
    </row>
    <row r="70" ht="14.5" spans="1:10">
      <c r="A70" s="18" t="s">
        <v>477</v>
      </c>
      <c r="B70" s="19" t="s">
        <v>478</v>
      </c>
      <c r="C70" s="20"/>
      <c r="D70" s="20"/>
      <c r="E70" s="20"/>
      <c r="F70" s="20"/>
      <c r="G70" s="20"/>
      <c r="H70" s="20"/>
      <c r="I70" s="20"/>
      <c r="J70" s="20"/>
    </row>
    <row r="71" ht="14.5" spans="1:10">
      <c r="A71" s="18" t="s">
        <v>477</v>
      </c>
      <c r="B71" s="19" t="s">
        <v>479</v>
      </c>
      <c r="C71" s="20"/>
      <c r="D71" s="20"/>
      <c r="E71" s="20"/>
      <c r="F71" s="20"/>
      <c r="G71" s="20"/>
      <c r="H71" s="20"/>
      <c r="I71" s="20"/>
      <c r="J71" s="20"/>
    </row>
    <row r="72" ht="39" spans="1:10">
      <c r="A72" s="10" t="s">
        <v>480</v>
      </c>
      <c r="B72" s="9" t="s">
        <v>479</v>
      </c>
      <c r="C72" s="9" t="s">
        <v>481</v>
      </c>
      <c r="D72" s="9" t="s">
        <v>482</v>
      </c>
      <c r="E72" s="10" t="s">
        <v>483</v>
      </c>
      <c r="F72" s="10" t="s">
        <v>484</v>
      </c>
      <c r="G72" s="10" t="s">
        <v>485</v>
      </c>
      <c r="H72" s="10" t="s">
        <v>486</v>
      </c>
      <c r="I72" s="10" t="s">
        <v>482</v>
      </c>
      <c r="J72" s="10" t="s">
        <v>482</v>
      </c>
    </row>
    <row r="73" ht="26" spans="1:10">
      <c r="A73" s="10" t="s">
        <v>480</v>
      </c>
      <c r="B73" s="9" t="s">
        <v>479</v>
      </c>
      <c r="C73" s="9" t="s">
        <v>481</v>
      </c>
      <c r="D73" s="9" t="s">
        <v>482</v>
      </c>
      <c r="E73" s="10" t="s">
        <v>487</v>
      </c>
      <c r="F73" s="10" t="s">
        <v>488</v>
      </c>
      <c r="G73" s="10" t="s">
        <v>489</v>
      </c>
      <c r="H73" s="10" t="s">
        <v>490</v>
      </c>
      <c r="I73" s="10" t="s">
        <v>482</v>
      </c>
      <c r="J73" s="10" t="s">
        <v>482</v>
      </c>
    </row>
    <row r="74" ht="39" spans="1:10">
      <c r="A74" s="10" t="s">
        <v>480</v>
      </c>
      <c r="B74" s="9" t="s">
        <v>479</v>
      </c>
      <c r="C74" s="9" t="s">
        <v>481</v>
      </c>
      <c r="D74" s="9" t="s">
        <v>482</v>
      </c>
      <c r="E74" s="10" t="s">
        <v>491</v>
      </c>
      <c r="F74" s="10" t="s">
        <v>492</v>
      </c>
      <c r="G74" s="10" t="s">
        <v>493</v>
      </c>
      <c r="H74" s="10" t="s">
        <v>494</v>
      </c>
      <c r="I74" s="10" t="s">
        <v>482</v>
      </c>
      <c r="J74" s="10" t="s">
        <v>482</v>
      </c>
    </row>
    <row r="75" ht="26" spans="1:10">
      <c r="A75" s="10" t="s">
        <v>480</v>
      </c>
      <c r="B75" s="9" t="s">
        <v>479</v>
      </c>
      <c r="C75" s="9" t="s">
        <v>495</v>
      </c>
      <c r="D75" s="9">
        <v>1</v>
      </c>
      <c r="E75" s="10" t="s">
        <v>496</v>
      </c>
      <c r="F75" s="10" t="s">
        <v>497</v>
      </c>
      <c r="G75" s="10" t="s">
        <v>482</v>
      </c>
      <c r="H75" s="10" t="s">
        <v>498</v>
      </c>
      <c r="I75" s="10" t="s">
        <v>499</v>
      </c>
      <c r="J75" s="10" t="s">
        <v>500</v>
      </c>
    </row>
    <row r="76" ht="26" spans="1:10">
      <c r="A76" s="10" t="s">
        <v>480</v>
      </c>
      <c r="B76" s="9" t="s">
        <v>479</v>
      </c>
      <c r="C76" s="9" t="s">
        <v>495</v>
      </c>
      <c r="D76" s="9">
        <v>2</v>
      </c>
      <c r="E76" s="10" t="s">
        <v>501</v>
      </c>
      <c r="F76" s="10" t="s">
        <v>502</v>
      </c>
      <c r="G76" s="10" t="s">
        <v>482</v>
      </c>
      <c r="H76" s="10" t="s">
        <v>503</v>
      </c>
      <c r="I76" s="10" t="s">
        <v>504</v>
      </c>
      <c r="J76" s="10" t="s">
        <v>505</v>
      </c>
    </row>
    <row r="77" ht="39" spans="1:10">
      <c r="A77" s="10" t="s">
        <v>480</v>
      </c>
      <c r="B77" s="9" t="s">
        <v>479</v>
      </c>
      <c r="C77" s="9" t="s">
        <v>495</v>
      </c>
      <c r="D77" s="9">
        <v>3</v>
      </c>
      <c r="E77" s="10" t="s">
        <v>506</v>
      </c>
      <c r="F77" s="10" t="s">
        <v>507</v>
      </c>
      <c r="G77" s="10" t="s">
        <v>482</v>
      </c>
      <c r="H77" s="10" t="s">
        <v>508</v>
      </c>
      <c r="I77" s="10" t="s">
        <v>509</v>
      </c>
      <c r="J77" s="10" t="s">
        <v>510</v>
      </c>
    </row>
    <row r="78" spans="1:10">
      <c r="A78" s="10" t="s">
        <v>480</v>
      </c>
      <c r="B78" s="9" t="s">
        <v>479</v>
      </c>
      <c r="C78" s="9" t="s">
        <v>495</v>
      </c>
      <c r="D78" s="9">
        <v>4</v>
      </c>
      <c r="E78" s="10" t="s">
        <v>511</v>
      </c>
      <c r="F78" s="10" t="s">
        <v>512</v>
      </c>
      <c r="G78" s="10" t="s">
        <v>482</v>
      </c>
      <c r="H78" s="10" t="s">
        <v>513</v>
      </c>
      <c r="I78" s="10" t="s">
        <v>514</v>
      </c>
      <c r="J78" s="10" t="s">
        <v>515</v>
      </c>
    </row>
    <row r="79" ht="14.5" spans="1:10">
      <c r="A79" s="18" t="s">
        <v>477</v>
      </c>
      <c r="B79" s="19" t="s">
        <v>516</v>
      </c>
      <c r="C79" s="20"/>
      <c r="D79" s="20"/>
      <c r="E79" s="20"/>
      <c r="F79" s="20"/>
      <c r="G79" s="20"/>
      <c r="H79" s="20"/>
      <c r="I79" s="20"/>
      <c r="J79" s="20"/>
    </row>
    <row r="80" ht="14.5" spans="1:10">
      <c r="A80" s="18" t="s">
        <v>477</v>
      </c>
      <c r="B80" s="19" t="s">
        <v>517</v>
      </c>
      <c r="C80" s="20"/>
      <c r="D80" s="20"/>
      <c r="E80" s="20"/>
      <c r="F80" s="20"/>
      <c r="G80" s="20"/>
      <c r="H80" s="20"/>
      <c r="I80" s="20"/>
      <c r="J80" s="20"/>
    </row>
    <row r="81" ht="26" spans="1:10">
      <c r="A81" s="10" t="s">
        <v>480</v>
      </c>
      <c r="B81" s="9" t="s">
        <v>517</v>
      </c>
      <c r="C81" s="9" t="s">
        <v>481</v>
      </c>
      <c r="D81" s="9" t="s">
        <v>482</v>
      </c>
      <c r="E81" s="10" t="s">
        <v>518</v>
      </c>
      <c r="F81" s="10" t="s">
        <v>519</v>
      </c>
      <c r="G81" s="10" t="s">
        <v>520</v>
      </c>
      <c r="H81" s="10" t="s">
        <v>521</v>
      </c>
      <c r="I81" s="10" t="s">
        <v>482</v>
      </c>
      <c r="J81" s="10" t="s">
        <v>482</v>
      </c>
    </row>
    <row r="82" ht="26" spans="1:10">
      <c r="A82" s="10" t="s">
        <v>480</v>
      </c>
      <c r="B82" s="9" t="s">
        <v>517</v>
      </c>
      <c r="C82" s="9" t="s">
        <v>481</v>
      </c>
      <c r="D82" s="9" t="s">
        <v>482</v>
      </c>
      <c r="E82" s="10" t="s">
        <v>522</v>
      </c>
      <c r="F82" s="10" t="s">
        <v>523</v>
      </c>
      <c r="G82" s="10" t="s">
        <v>524</v>
      </c>
      <c r="H82" s="10" t="s">
        <v>525</v>
      </c>
      <c r="I82" s="10" t="s">
        <v>482</v>
      </c>
      <c r="J82" s="10" t="s">
        <v>482</v>
      </c>
    </row>
    <row r="83" ht="26" spans="1:10">
      <c r="A83" s="10" t="s">
        <v>480</v>
      </c>
      <c r="B83" s="9" t="s">
        <v>517</v>
      </c>
      <c r="C83" s="9" t="s">
        <v>481</v>
      </c>
      <c r="D83" s="9" t="s">
        <v>482</v>
      </c>
      <c r="E83" s="10" t="s">
        <v>526</v>
      </c>
      <c r="F83" s="10" t="s">
        <v>527</v>
      </c>
      <c r="G83" s="10" t="s">
        <v>414</v>
      </c>
      <c r="H83" s="10" t="s">
        <v>528</v>
      </c>
      <c r="I83" s="10" t="s">
        <v>482</v>
      </c>
      <c r="J83" s="10" t="s">
        <v>482</v>
      </c>
    </row>
    <row r="84" ht="26" spans="1:10">
      <c r="A84" s="10" t="s">
        <v>480</v>
      </c>
      <c r="B84" s="9" t="s">
        <v>517</v>
      </c>
      <c r="C84" s="9" t="s">
        <v>495</v>
      </c>
      <c r="D84" s="9">
        <v>1</v>
      </c>
      <c r="E84" s="10" t="s">
        <v>529</v>
      </c>
      <c r="F84" s="10" t="s">
        <v>530</v>
      </c>
      <c r="G84" s="10" t="s">
        <v>482</v>
      </c>
      <c r="H84" s="10" t="s">
        <v>531</v>
      </c>
      <c r="I84" s="10" t="s">
        <v>392</v>
      </c>
      <c r="J84" s="10" t="s">
        <v>532</v>
      </c>
    </row>
    <row r="85" ht="26" spans="1:10">
      <c r="A85" s="10" t="s">
        <v>480</v>
      </c>
      <c r="B85" s="9" t="s">
        <v>517</v>
      </c>
      <c r="C85" s="9" t="s">
        <v>495</v>
      </c>
      <c r="D85" s="9">
        <v>2</v>
      </c>
      <c r="E85" s="10" t="s">
        <v>533</v>
      </c>
      <c r="F85" s="10" t="s">
        <v>534</v>
      </c>
      <c r="G85" s="10" t="s">
        <v>482</v>
      </c>
      <c r="H85" s="10" t="s">
        <v>535</v>
      </c>
      <c r="I85" s="10" t="s">
        <v>536</v>
      </c>
      <c r="J85" s="10" t="s">
        <v>537</v>
      </c>
    </row>
    <row r="86" ht="26" spans="1:10">
      <c r="A86" s="10" t="s">
        <v>480</v>
      </c>
      <c r="B86" s="9" t="s">
        <v>517</v>
      </c>
      <c r="C86" s="9" t="s">
        <v>495</v>
      </c>
      <c r="D86" s="9">
        <v>3</v>
      </c>
      <c r="E86" s="10" t="s">
        <v>538</v>
      </c>
      <c r="F86" s="10" t="s">
        <v>539</v>
      </c>
      <c r="G86" s="10" t="s">
        <v>482</v>
      </c>
      <c r="H86" s="10" t="s">
        <v>540</v>
      </c>
      <c r="I86" s="10" t="s">
        <v>541</v>
      </c>
      <c r="J86" s="10" t="s">
        <v>542</v>
      </c>
    </row>
    <row r="87" ht="26" spans="1:10">
      <c r="A87" s="10" t="s">
        <v>480</v>
      </c>
      <c r="B87" s="9" t="s">
        <v>517</v>
      </c>
      <c r="C87" s="9" t="s">
        <v>495</v>
      </c>
      <c r="D87" s="9">
        <v>4</v>
      </c>
      <c r="E87" s="10" t="s">
        <v>543</v>
      </c>
      <c r="F87" s="10" t="s">
        <v>544</v>
      </c>
      <c r="G87" s="10" t="s">
        <v>482</v>
      </c>
      <c r="H87" s="10" t="s">
        <v>545</v>
      </c>
      <c r="I87" s="10" t="s">
        <v>546</v>
      </c>
      <c r="J87" s="10" t="s">
        <v>547</v>
      </c>
    </row>
    <row r="88" ht="14.5" spans="1:10">
      <c r="A88" s="18" t="s">
        <v>477</v>
      </c>
      <c r="B88" s="19" t="s">
        <v>548</v>
      </c>
      <c r="C88" s="20"/>
      <c r="D88" s="20"/>
      <c r="E88" s="20"/>
      <c r="F88" s="20"/>
      <c r="G88" s="20"/>
      <c r="H88" s="20"/>
      <c r="I88" s="20"/>
      <c r="J88" s="20"/>
    </row>
    <row r="89" ht="14.5" spans="1:10">
      <c r="A89" s="18" t="s">
        <v>477</v>
      </c>
      <c r="B89" s="19" t="s">
        <v>549</v>
      </c>
      <c r="C89" s="20"/>
      <c r="D89" s="20"/>
      <c r="E89" s="20"/>
      <c r="F89" s="20"/>
      <c r="G89" s="20"/>
      <c r="H89" s="20"/>
      <c r="I89" s="20"/>
      <c r="J89" s="20"/>
    </row>
    <row r="90" ht="52" spans="1:10">
      <c r="A90" s="10" t="s">
        <v>480</v>
      </c>
      <c r="B90" s="9" t="s">
        <v>549</v>
      </c>
      <c r="C90" s="9" t="s">
        <v>481</v>
      </c>
      <c r="D90" s="9" t="s">
        <v>482</v>
      </c>
      <c r="E90" s="10" t="s">
        <v>550</v>
      </c>
      <c r="F90" s="10" t="s">
        <v>551</v>
      </c>
      <c r="G90" s="10" t="s">
        <v>552</v>
      </c>
      <c r="H90" s="10" t="s">
        <v>553</v>
      </c>
      <c r="I90" s="10" t="s">
        <v>482</v>
      </c>
      <c r="J90" s="10" t="s">
        <v>482</v>
      </c>
    </row>
    <row r="91" ht="39" spans="1:10">
      <c r="A91" s="10" t="s">
        <v>480</v>
      </c>
      <c r="B91" s="9" t="s">
        <v>549</v>
      </c>
      <c r="C91" s="9" t="s">
        <v>481</v>
      </c>
      <c r="D91" s="9" t="s">
        <v>482</v>
      </c>
      <c r="E91" s="10" t="s">
        <v>554</v>
      </c>
      <c r="F91" s="10" t="s">
        <v>555</v>
      </c>
      <c r="G91" s="10" t="s">
        <v>556</v>
      </c>
      <c r="H91" s="10" t="s">
        <v>557</v>
      </c>
      <c r="I91" s="10" t="s">
        <v>482</v>
      </c>
      <c r="J91" s="10" t="s">
        <v>482</v>
      </c>
    </row>
    <row r="92" ht="39" spans="1:10">
      <c r="A92" s="10" t="s">
        <v>480</v>
      </c>
      <c r="B92" s="9" t="s">
        <v>549</v>
      </c>
      <c r="C92" s="9" t="s">
        <v>481</v>
      </c>
      <c r="D92" s="9" t="s">
        <v>482</v>
      </c>
      <c r="E92" s="10" t="s">
        <v>558</v>
      </c>
      <c r="F92" s="10" t="s">
        <v>559</v>
      </c>
      <c r="G92" s="10" t="s">
        <v>560</v>
      </c>
      <c r="H92" s="10" t="s">
        <v>561</v>
      </c>
      <c r="I92" s="10" t="s">
        <v>482</v>
      </c>
      <c r="J92" s="10" t="s">
        <v>482</v>
      </c>
    </row>
    <row r="93" ht="26" spans="1:10">
      <c r="A93" s="10" t="s">
        <v>480</v>
      </c>
      <c r="B93" s="9" t="s">
        <v>549</v>
      </c>
      <c r="C93" s="9" t="s">
        <v>495</v>
      </c>
      <c r="D93" s="9">
        <v>1</v>
      </c>
      <c r="E93" s="10" t="s">
        <v>562</v>
      </c>
      <c r="F93" s="10" t="s">
        <v>563</v>
      </c>
      <c r="G93" s="10" t="s">
        <v>482</v>
      </c>
      <c r="H93" s="10" t="s">
        <v>564</v>
      </c>
      <c r="I93" s="10" t="s">
        <v>565</v>
      </c>
      <c r="J93" s="10" t="s">
        <v>566</v>
      </c>
    </row>
    <row r="94" ht="26" spans="1:10">
      <c r="A94" s="10" t="s">
        <v>480</v>
      </c>
      <c r="B94" s="9" t="s">
        <v>549</v>
      </c>
      <c r="C94" s="9" t="s">
        <v>495</v>
      </c>
      <c r="D94" s="9">
        <v>2</v>
      </c>
      <c r="E94" s="10" t="s">
        <v>567</v>
      </c>
      <c r="F94" s="10" t="s">
        <v>568</v>
      </c>
      <c r="G94" s="10" t="s">
        <v>482</v>
      </c>
      <c r="H94" s="10" t="s">
        <v>569</v>
      </c>
      <c r="I94" s="10" t="s">
        <v>570</v>
      </c>
      <c r="J94" s="10" t="s">
        <v>571</v>
      </c>
    </row>
    <row r="95" ht="26" spans="1:10">
      <c r="A95" s="10" t="s">
        <v>480</v>
      </c>
      <c r="B95" s="9" t="s">
        <v>549</v>
      </c>
      <c r="C95" s="9" t="s">
        <v>495</v>
      </c>
      <c r="D95" s="9">
        <v>3</v>
      </c>
      <c r="E95" s="10" t="s">
        <v>572</v>
      </c>
      <c r="F95" s="10" t="s">
        <v>573</v>
      </c>
      <c r="G95" s="10" t="s">
        <v>482</v>
      </c>
      <c r="H95" s="10" t="s">
        <v>574</v>
      </c>
      <c r="I95" s="10" t="s">
        <v>575</v>
      </c>
      <c r="J95" s="10" t="s">
        <v>576</v>
      </c>
    </row>
    <row r="96" ht="39" spans="1:10">
      <c r="A96" s="10" t="s">
        <v>480</v>
      </c>
      <c r="B96" s="9" t="s">
        <v>549</v>
      </c>
      <c r="C96" s="9" t="s">
        <v>495</v>
      </c>
      <c r="D96" s="9">
        <v>4</v>
      </c>
      <c r="E96" s="10" t="s">
        <v>577</v>
      </c>
      <c r="F96" s="10" t="s">
        <v>578</v>
      </c>
      <c r="G96" s="10" t="s">
        <v>482</v>
      </c>
      <c r="H96" s="10" t="s">
        <v>579</v>
      </c>
      <c r="I96" s="10" t="s">
        <v>580</v>
      </c>
      <c r="J96" s="10" t="s">
        <v>581</v>
      </c>
    </row>
    <row r="97" ht="14.5" spans="1:10">
      <c r="A97" s="18" t="s">
        <v>477</v>
      </c>
      <c r="B97" s="19" t="s">
        <v>582</v>
      </c>
      <c r="C97" s="20"/>
      <c r="D97" s="20"/>
      <c r="E97" s="20"/>
      <c r="F97" s="20"/>
      <c r="G97" s="20"/>
      <c r="H97" s="20"/>
      <c r="I97" s="20"/>
      <c r="J97" s="20"/>
    </row>
    <row r="98" ht="14.5" spans="1:10">
      <c r="A98" s="18" t="s">
        <v>477</v>
      </c>
      <c r="B98" s="19" t="s">
        <v>583</v>
      </c>
      <c r="C98" s="20"/>
      <c r="D98" s="20"/>
      <c r="E98" s="20"/>
      <c r="F98" s="20"/>
      <c r="G98" s="20"/>
      <c r="H98" s="20"/>
      <c r="I98" s="20"/>
      <c r="J98" s="20"/>
    </row>
    <row r="99" ht="65" spans="1:10">
      <c r="A99" s="10" t="s">
        <v>480</v>
      </c>
      <c r="B99" s="9" t="s">
        <v>583</v>
      </c>
      <c r="C99" s="9" t="s">
        <v>481</v>
      </c>
      <c r="D99" s="9" t="s">
        <v>482</v>
      </c>
      <c r="E99" s="10" t="s">
        <v>584</v>
      </c>
      <c r="F99" s="10" t="s">
        <v>585</v>
      </c>
      <c r="G99" s="10" t="s">
        <v>586</v>
      </c>
      <c r="H99" s="10" t="s">
        <v>587</v>
      </c>
      <c r="I99" s="10" t="s">
        <v>482</v>
      </c>
      <c r="J99" s="10" t="s">
        <v>482</v>
      </c>
    </row>
    <row r="100" ht="39" spans="1:10">
      <c r="A100" s="10" t="s">
        <v>480</v>
      </c>
      <c r="B100" s="9" t="s">
        <v>583</v>
      </c>
      <c r="C100" s="9" t="s">
        <v>481</v>
      </c>
      <c r="D100" s="9" t="s">
        <v>482</v>
      </c>
      <c r="E100" s="10" t="s">
        <v>588</v>
      </c>
      <c r="F100" s="10" t="s">
        <v>589</v>
      </c>
      <c r="G100" s="10" t="s">
        <v>590</v>
      </c>
      <c r="H100" s="10" t="s">
        <v>591</v>
      </c>
      <c r="I100" s="10" t="s">
        <v>482</v>
      </c>
      <c r="J100" s="10" t="s">
        <v>482</v>
      </c>
    </row>
    <row r="101" ht="26" spans="1:10">
      <c r="A101" s="10" t="s">
        <v>480</v>
      </c>
      <c r="B101" s="9" t="s">
        <v>583</v>
      </c>
      <c r="C101" s="9" t="s">
        <v>481</v>
      </c>
      <c r="D101" s="9" t="s">
        <v>482</v>
      </c>
      <c r="E101" s="10" t="s">
        <v>592</v>
      </c>
      <c r="F101" s="10" t="s">
        <v>593</v>
      </c>
      <c r="G101" s="10" t="s">
        <v>594</v>
      </c>
      <c r="H101" s="10" t="s">
        <v>595</v>
      </c>
      <c r="I101" s="10" t="s">
        <v>596</v>
      </c>
      <c r="J101" s="10" t="s">
        <v>482</v>
      </c>
    </row>
    <row r="102" ht="26" spans="1:10">
      <c r="A102" s="10" t="s">
        <v>480</v>
      </c>
      <c r="B102" s="9" t="s">
        <v>583</v>
      </c>
      <c r="C102" s="9" t="s">
        <v>495</v>
      </c>
      <c r="D102" s="9">
        <v>1</v>
      </c>
      <c r="E102" s="10" t="s">
        <v>597</v>
      </c>
      <c r="F102" s="10" t="s">
        <v>598</v>
      </c>
      <c r="G102" s="10" t="s">
        <v>482</v>
      </c>
      <c r="H102" s="10" t="s">
        <v>599</v>
      </c>
      <c r="I102" s="10" t="s">
        <v>600</v>
      </c>
      <c r="J102" s="10" t="s">
        <v>601</v>
      </c>
    </row>
    <row r="103" ht="65" spans="1:10">
      <c r="A103" s="10" t="s">
        <v>480</v>
      </c>
      <c r="B103" s="9" t="s">
        <v>583</v>
      </c>
      <c r="C103" s="9" t="s">
        <v>495</v>
      </c>
      <c r="D103" s="9">
        <v>2</v>
      </c>
      <c r="E103" s="10" t="s">
        <v>602</v>
      </c>
      <c r="F103" s="10" t="s">
        <v>603</v>
      </c>
      <c r="G103" s="10" t="s">
        <v>482</v>
      </c>
      <c r="H103" s="10" t="s">
        <v>604</v>
      </c>
      <c r="I103" s="10" t="s">
        <v>605</v>
      </c>
      <c r="J103" s="10" t="s">
        <v>606</v>
      </c>
    </row>
    <row r="104" ht="26" spans="1:10">
      <c r="A104" s="10" t="s">
        <v>480</v>
      </c>
      <c r="B104" s="9" t="s">
        <v>583</v>
      </c>
      <c r="C104" s="9" t="s">
        <v>495</v>
      </c>
      <c r="D104" s="9">
        <v>3</v>
      </c>
      <c r="E104" s="10" t="s">
        <v>607</v>
      </c>
      <c r="F104" s="10" t="s">
        <v>608</v>
      </c>
      <c r="G104" s="10" t="s">
        <v>482</v>
      </c>
      <c r="H104" s="10" t="s">
        <v>609</v>
      </c>
      <c r="I104" s="10" t="s">
        <v>610</v>
      </c>
      <c r="J104" s="10" t="s">
        <v>611</v>
      </c>
    </row>
    <row r="105" ht="26" spans="1:10">
      <c r="A105" s="10" t="s">
        <v>480</v>
      </c>
      <c r="B105" s="9" t="s">
        <v>583</v>
      </c>
      <c r="C105" s="9" t="s">
        <v>495</v>
      </c>
      <c r="D105" s="9">
        <v>4</v>
      </c>
      <c r="E105" s="10" t="s">
        <v>612</v>
      </c>
      <c r="F105" s="10" t="s">
        <v>613</v>
      </c>
      <c r="G105" s="10" t="s">
        <v>482</v>
      </c>
      <c r="H105" s="10" t="s">
        <v>614</v>
      </c>
      <c r="I105" s="10" t="s">
        <v>615</v>
      </c>
      <c r="J105" s="10" t="s">
        <v>616</v>
      </c>
    </row>
    <row r="106" ht="14.5" spans="1:10">
      <c r="A106" s="18" t="s">
        <v>617</v>
      </c>
      <c r="B106" s="19" t="s">
        <v>618</v>
      </c>
      <c r="C106" s="20"/>
      <c r="D106" s="20"/>
      <c r="E106" s="20"/>
      <c r="F106" s="20"/>
      <c r="G106" s="20"/>
      <c r="H106" s="20"/>
      <c r="I106" s="20"/>
      <c r="J106" s="20"/>
    </row>
    <row r="107" ht="52" spans="1:10">
      <c r="A107" s="10" t="s">
        <v>619</v>
      </c>
      <c r="B107" s="9" t="s">
        <v>618</v>
      </c>
      <c r="C107" s="9" t="s">
        <v>481</v>
      </c>
      <c r="D107" s="9" t="s">
        <v>482</v>
      </c>
      <c r="E107" s="10" t="s">
        <v>620</v>
      </c>
      <c r="F107" s="10" t="s">
        <v>621</v>
      </c>
      <c r="G107" s="10" t="s">
        <v>622</v>
      </c>
      <c r="H107" s="10" t="s">
        <v>623</v>
      </c>
      <c r="I107" s="10" t="s">
        <v>482</v>
      </c>
      <c r="J107" s="10" t="s">
        <v>482</v>
      </c>
    </row>
    <row r="108" ht="52" spans="1:10">
      <c r="A108" s="10" t="s">
        <v>619</v>
      </c>
      <c r="B108" s="9" t="s">
        <v>618</v>
      </c>
      <c r="C108" s="9" t="s">
        <v>481</v>
      </c>
      <c r="D108" s="9" t="s">
        <v>482</v>
      </c>
      <c r="E108" s="10" t="s">
        <v>624</v>
      </c>
      <c r="F108" s="10" t="s">
        <v>625</v>
      </c>
      <c r="G108" s="10" t="s">
        <v>626</v>
      </c>
      <c r="H108" s="10" t="s">
        <v>627</v>
      </c>
      <c r="I108" s="10" t="s">
        <v>482</v>
      </c>
      <c r="J108" s="10" t="s">
        <v>482</v>
      </c>
    </row>
    <row r="109" ht="52" spans="1:10">
      <c r="A109" s="10" t="s">
        <v>619</v>
      </c>
      <c r="B109" s="9" t="s">
        <v>618</v>
      </c>
      <c r="C109" s="9" t="s">
        <v>481</v>
      </c>
      <c r="D109" s="9" t="s">
        <v>482</v>
      </c>
      <c r="E109" s="10" t="s">
        <v>628</v>
      </c>
      <c r="F109" s="10" t="s">
        <v>629</v>
      </c>
      <c r="G109" s="10" t="s">
        <v>630</v>
      </c>
      <c r="H109" s="10" t="s">
        <v>631</v>
      </c>
      <c r="I109" s="10" t="s">
        <v>482</v>
      </c>
      <c r="J109" s="10" t="s">
        <v>482</v>
      </c>
    </row>
    <row r="110" ht="52" spans="1:10">
      <c r="A110" s="10" t="s">
        <v>619</v>
      </c>
      <c r="B110" s="9" t="s">
        <v>618</v>
      </c>
      <c r="C110" s="9" t="s">
        <v>495</v>
      </c>
      <c r="D110" s="9" t="s">
        <v>632</v>
      </c>
      <c r="E110" s="10" t="s">
        <v>633</v>
      </c>
      <c r="F110" s="10" t="s">
        <v>634</v>
      </c>
      <c r="G110" s="10" t="s">
        <v>635</v>
      </c>
      <c r="H110" s="10" t="s">
        <v>636</v>
      </c>
      <c r="I110" s="10" t="s">
        <v>637</v>
      </c>
      <c r="J110" s="10" t="s">
        <v>638</v>
      </c>
    </row>
    <row r="111" ht="52" spans="1:10">
      <c r="A111" s="10" t="s">
        <v>619</v>
      </c>
      <c r="B111" s="9" t="s">
        <v>618</v>
      </c>
      <c r="C111" s="9" t="s">
        <v>495</v>
      </c>
      <c r="D111" s="9" t="s">
        <v>639</v>
      </c>
      <c r="E111" s="10" t="s">
        <v>640</v>
      </c>
      <c r="F111" s="10" t="s">
        <v>641</v>
      </c>
      <c r="G111" s="10" t="s">
        <v>642</v>
      </c>
      <c r="H111" s="10" t="s">
        <v>643</v>
      </c>
      <c r="I111" s="10" t="s">
        <v>644</v>
      </c>
      <c r="J111" s="10" t="s">
        <v>645</v>
      </c>
    </row>
    <row r="112" ht="52" spans="1:10">
      <c r="A112" s="10" t="s">
        <v>619</v>
      </c>
      <c r="B112" s="9" t="s">
        <v>618</v>
      </c>
      <c r="C112" s="9" t="s">
        <v>495</v>
      </c>
      <c r="D112" s="9" t="s">
        <v>646</v>
      </c>
      <c r="E112" s="10" t="s">
        <v>647</v>
      </c>
      <c r="F112" s="10" t="s">
        <v>648</v>
      </c>
      <c r="G112" s="10" t="s">
        <v>649</v>
      </c>
      <c r="H112" s="10" t="s">
        <v>650</v>
      </c>
      <c r="I112" s="10" t="s">
        <v>651</v>
      </c>
      <c r="J112" s="10" t="s">
        <v>652</v>
      </c>
    </row>
    <row r="113" ht="52" spans="1:10">
      <c r="A113" s="10" t="s">
        <v>619</v>
      </c>
      <c r="B113" s="9" t="s">
        <v>618</v>
      </c>
      <c r="C113" s="9" t="s">
        <v>495</v>
      </c>
      <c r="D113" s="9" t="s">
        <v>653</v>
      </c>
      <c r="E113" s="10" t="s">
        <v>654</v>
      </c>
      <c r="F113" s="10" t="s">
        <v>655</v>
      </c>
      <c r="G113" s="10" t="s">
        <v>656</v>
      </c>
      <c r="H113" s="10" t="s">
        <v>657</v>
      </c>
      <c r="I113" s="10" t="s">
        <v>658</v>
      </c>
      <c r="J113" s="10" t="s">
        <v>659</v>
      </c>
    </row>
    <row r="114" ht="14.5" spans="1:10">
      <c r="A114" s="18" t="s">
        <v>617</v>
      </c>
      <c r="B114" s="19" t="s">
        <v>660</v>
      </c>
      <c r="C114" s="20"/>
      <c r="D114" s="20"/>
      <c r="E114" s="20"/>
      <c r="F114" s="20"/>
      <c r="G114" s="20"/>
      <c r="H114" s="20"/>
      <c r="I114" s="20"/>
      <c r="J114" s="20"/>
    </row>
    <row r="115" ht="65" spans="1:10">
      <c r="A115" s="10" t="s">
        <v>619</v>
      </c>
      <c r="B115" s="9" t="s">
        <v>660</v>
      </c>
      <c r="C115" s="9" t="s">
        <v>481</v>
      </c>
      <c r="D115" s="9" t="s">
        <v>482</v>
      </c>
      <c r="E115" s="10" t="s">
        <v>661</v>
      </c>
      <c r="F115" s="10" t="s">
        <v>662</v>
      </c>
      <c r="G115" s="10" t="s">
        <v>663</v>
      </c>
      <c r="H115" s="10" t="s">
        <v>664</v>
      </c>
      <c r="I115" s="10" t="s">
        <v>482</v>
      </c>
      <c r="J115" s="10" t="s">
        <v>482</v>
      </c>
    </row>
    <row r="116" ht="65" spans="1:10">
      <c r="A116" s="10" t="s">
        <v>619</v>
      </c>
      <c r="B116" s="9" t="s">
        <v>660</v>
      </c>
      <c r="C116" s="9" t="s">
        <v>481</v>
      </c>
      <c r="D116" s="9" t="s">
        <v>482</v>
      </c>
      <c r="E116" s="10" t="s">
        <v>665</v>
      </c>
      <c r="F116" s="10" t="s">
        <v>666</v>
      </c>
      <c r="G116" s="10" t="s">
        <v>667</v>
      </c>
      <c r="H116" s="10" t="s">
        <v>668</v>
      </c>
      <c r="I116" s="10" t="s">
        <v>669</v>
      </c>
      <c r="J116" s="10" t="s">
        <v>670</v>
      </c>
    </row>
    <row r="117" ht="65" spans="1:10">
      <c r="A117" s="10" t="s">
        <v>619</v>
      </c>
      <c r="B117" s="9" t="s">
        <v>660</v>
      </c>
      <c r="C117" s="9" t="s">
        <v>495</v>
      </c>
      <c r="D117" s="9" t="s">
        <v>632</v>
      </c>
      <c r="E117" s="10" t="s">
        <v>671</v>
      </c>
      <c r="F117" s="10" t="s">
        <v>672</v>
      </c>
      <c r="G117" s="10" t="s">
        <v>673</v>
      </c>
      <c r="H117" s="10" t="s">
        <v>674</v>
      </c>
      <c r="I117" s="10" t="s">
        <v>675</v>
      </c>
      <c r="J117" s="10" t="s">
        <v>676</v>
      </c>
    </row>
    <row r="118" ht="65" spans="1:10">
      <c r="A118" s="10" t="s">
        <v>619</v>
      </c>
      <c r="B118" s="9" t="s">
        <v>660</v>
      </c>
      <c r="C118" s="9" t="s">
        <v>495</v>
      </c>
      <c r="D118" s="9" t="s">
        <v>639</v>
      </c>
      <c r="E118" s="10" t="s">
        <v>677</v>
      </c>
      <c r="F118" s="10" t="s">
        <v>678</v>
      </c>
      <c r="G118" s="10" t="s">
        <v>679</v>
      </c>
      <c r="H118" s="10" t="s">
        <v>680</v>
      </c>
      <c r="I118" s="10" t="s">
        <v>681</v>
      </c>
      <c r="J118" s="10" t="s">
        <v>682</v>
      </c>
    </row>
    <row r="119" ht="65" spans="1:10">
      <c r="A119" s="10" t="s">
        <v>619</v>
      </c>
      <c r="B119" s="9" t="s">
        <v>660</v>
      </c>
      <c r="C119" s="9" t="s">
        <v>495</v>
      </c>
      <c r="D119" s="9" t="s">
        <v>646</v>
      </c>
      <c r="E119" s="10" t="s">
        <v>683</v>
      </c>
      <c r="F119" s="10" t="s">
        <v>684</v>
      </c>
      <c r="G119" s="10" t="s">
        <v>685</v>
      </c>
      <c r="H119" s="10" t="s">
        <v>686</v>
      </c>
      <c r="I119" s="10" t="s">
        <v>687</v>
      </c>
      <c r="J119" s="10" t="s">
        <v>688</v>
      </c>
    </row>
    <row r="120" ht="65" spans="1:10">
      <c r="A120" s="10" t="s">
        <v>619</v>
      </c>
      <c r="B120" s="9" t="s">
        <v>660</v>
      </c>
      <c r="C120" s="9" t="s">
        <v>495</v>
      </c>
      <c r="D120" s="9" t="s">
        <v>653</v>
      </c>
      <c r="E120" s="10" t="s">
        <v>689</v>
      </c>
      <c r="F120" s="10" t="s">
        <v>690</v>
      </c>
      <c r="G120" s="10" t="s">
        <v>691</v>
      </c>
      <c r="H120" s="10" t="s">
        <v>692</v>
      </c>
      <c r="I120" s="10" t="s">
        <v>693</v>
      </c>
      <c r="J120" s="10" t="s">
        <v>694</v>
      </c>
    </row>
    <row r="121" ht="14.5" spans="1:10">
      <c r="A121" s="18" t="s">
        <v>617</v>
      </c>
      <c r="B121" s="19" t="s">
        <v>695</v>
      </c>
      <c r="C121" s="20"/>
      <c r="D121" s="20"/>
      <c r="E121" s="20"/>
      <c r="F121" s="20"/>
      <c r="G121" s="20"/>
      <c r="H121" s="20"/>
      <c r="I121" s="20"/>
      <c r="J121" s="20"/>
    </row>
    <row r="122" ht="52" spans="1:10">
      <c r="A122" s="10" t="s">
        <v>619</v>
      </c>
      <c r="B122" s="9" t="s">
        <v>695</v>
      </c>
      <c r="C122" s="9" t="s">
        <v>481</v>
      </c>
      <c r="D122" s="9" t="s">
        <v>482</v>
      </c>
      <c r="E122" s="10" t="s">
        <v>696</v>
      </c>
      <c r="F122" s="10" t="s">
        <v>697</v>
      </c>
      <c r="G122" s="10" t="s">
        <v>698</v>
      </c>
      <c r="H122" s="10" t="s">
        <v>699</v>
      </c>
      <c r="I122" s="10" t="s">
        <v>482</v>
      </c>
      <c r="J122" s="10" t="s">
        <v>482</v>
      </c>
    </row>
    <row r="123" ht="52" spans="1:10">
      <c r="A123" s="10" t="s">
        <v>619</v>
      </c>
      <c r="B123" s="9" t="s">
        <v>695</v>
      </c>
      <c r="C123" s="9" t="s">
        <v>495</v>
      </c>
      <c r="D123" s="9" t="s">
        <v>632</v>
      </c>
      <c r="E123" s="10" t="s">
        <v>700</v>
      </c>
      <c r="F123" s="10" t="s">
        <v>701</v>
      </c>
      <c r="G123" s="10" t="s">
        <v>698</v>
      </c>
      <c r="H123" s="10" t="s">
        <v>702</v>
      </c>
      <c r="I123" s="10" t="s">
        <v>703</v>
      </c>
      <c r="J123" s="10" t="s">
        <v>704</v>
      </c>
    </row>
    <row r="124" ht="52" spans="1:10">
      <c r="A124" s="10" t="s">
        <v>619</v>
      </c>
      <c r="B124" s="9" t="s">
        <v>695</v>
      </c>
      <c r="C124" s="9" t="s">
        <v>495</v>
      </c>
      <c r="D124" s="9" t="s">
        <v>639</v>
      </c>
      <c r="E124" s="10" t="s">
        <v>705</v>
      </c>
      <c r="F124" s="10" t="s">
        <v>706</v>
      </c>
      <c r="G124" s="10" t="s">
        <v>707</v>
      </c>
      <c r="H124" s="10" t="s">
        <v>482</v>
      </c>
      <c r="I124" s="10" t="s">
        <v>708</v>
      </c>
      <c r="J124" s="10" t="s">
        <v>709</v>
      </c>
    </row>
    <row r="125" ht="52" spans="1:10">
      <c r="A125" s="10" t="s">
        <v>619</v>
      </c>
      <c r="B125" s="9" t="s">
        <v>695</v>
      </c>
      <c r="C125" s="9" t="s">
        <v>495</v>
      </c>
      <c r="D125" s="9" t="s">
        <v>646</v>
      </c>
      <c r="E125" s="10" t="s">
        <v>710</v>
      </c>
      <c r="F125" s="10" t="s">
        <v>711</v>
      </c>
      <c r="G125" s="10" t="s">
        <v>712</v>
      </c>
      <c r="H125" s="10" t="s">
        <v>713</v>
      </c>
      <c r="I125" s="10" t="s">
        <v>714</v>
      </c>
      <c r="J125" s="10" t="s">
        <v>715</v>
      </c>
    </row>
    <row r="126" ht="52" spans="1:10">
      <c r="A126" s="10" t="s">
        <v>619</v>
      </c>
      <c r="B126" s="9" t="s">
        <v>695</v>
      </c>
      <c r="C126" s="9" t="s">
        <v>495</v>
      </c>
      <c r="D126" s="9" t="s">
        <v>653</v>
      </c>
      <c r="E126" s="10" t="s">
        <v>716</v>
      </c>
      <c r="F126" s="10" t="s">
        <v>717</v>
      </c>
      <c r="G126" s="10" t="s">
        <v>718</v>
      </c>
      <c r="H126" s="10" t="s">
        <v>719</v>
      </c>
      <c r="I126" s="10" t="s">
        <v>720</v>
      </c>
      <c r="J126" s="10" t="s">
        <v>721</v>
      </c>
    </row>
    <row r="127" ht="14.5" spans="1:10">
      <c r="A127" s="18" t="s">
        <v>617</v>
      </c>
      <c r="B127" s="19" t="s">
        <v>722</v>
      </c>
      <c r="C127" s="20"/>
      <c r="D127" s="20"/>
      <c r="E127" s="20"/>
      <c r="F127" s="20"/>
      <c r="G127" s="20"/>
      <c r="H127" s="20"/>
      <c r="I127" s="20"/>
      <c r="J127" s="20"/>
    </row>
    <row r="128" ht="52" spans="1:10">
      <c r="A128" s="10" t="s">
        <v>619</v>
      </c>
      <c r="B128" s="9" t="s">
        <v>722</v>
      </c>
      <c r="C128" s="9" t="s">
        <v>481</v>
      </c>
      <c r="D128" s="9" t="s">
        <v>482</v>
      </c>
      <c r="E128" s="10" t="s">
        <v>723</v>
      </c>
      <c r="F128" s="10" t="s">
        <v>724</v>
      </c>
      <c r="G128" s="10" t="s">
        <v>725</v>
      </c>
      <c r="H128" s="10" t="s">
        <v>726</v>
      </c>
      <c r="I128" s="10" t="s">
        <v>482</v>
      </c>
      <c r="J128" s="10" t="s">
        <v>482</v>
      </c>
    </row>
    <row r="129" ht="52" spans="1:10">
      <c r="A129" s="10" t="s">
        <v>619</v>
      </c>
      <c r="B129" s="9" t="s">
        <v>722</v>
      </c>
      <c r="C129" s="9" t="s">
        <v>495</v>
      </c>
      <c r="D129" s="9" t="s">
        <v>632</v>
      </c>
      <c r="E129" s="10" t="s">
        <v>700</v>
      </c>
      <c r="F129" s="10" t="s">
        <v>727</v>
      </c>
      <c r="G129" s="10" t="s">
        <v>725</v>
      </c>
      <c r="H129" s="10" t="s">
        <v>728</v>
      </c>
      <c r="I129" s="10" t="s">
        <v>729</v>
      </c>
      <c r="J129" s="10" t="s">
        <v>730</v>
      </c>
    </row>
    <row r="130" ht="52" spans="1:10">
      <c r="A130" s="10" t="s">
        <v>619</v>
      </c>
      <c r="B130" s="9" t="s">
        <v>722</v>
      </c>
      <c r="C130" s="9" t="s">
        <v>495</v>
      </c>
      <c r="D130" s="9" t="s">
        <v>639</v>
      </c>
      <c r="E130" s="10" t="s">
        <v>731</v>
      </c>
      <c r="F130" s="10" t="s">
        <v>732</v>
      </c>
      <c r="G130" s="10" t="s">
        <v>733</v>
      </c>
      <c r="H130" s="10" t="s">
        <v>482</v>
      </c>
      <c r="I130" s="10" t="s">
        <v>734</v>
      </c>
      <c r="J130" s="10" t="s">
        <v>735</v>
      </c>
    </row>
    <row r="131" ht="52" spans="1:10">
      <c r="A131" s="10" t="s">
        <v>619</v>
      </c>
      <c r="B131" s="9" t="s">
        <v>722</v>
      </c>
      <c r="C131" s="9" t="s">
        <v>495</v>
      </c>
      <c r="D131" s="9" t="s">
        <v>646</v>
      </c>
      <c r="E131" s="10" t="s">
        <v>710</v>
      </c>
      <c r="F131" s="10" t="s">
        <v>736</v>
      </c>
      <c r="G131" s="10" t="s">
        <v>712</v>
      </c>
      <c r="H131" s="10" t="s">
        <v>482</v>
      </c>
      <c r="I131" s="10" t="s">
        <v>737</v>
      </c>
      <c r="J131" s="10" t="s">
        <v>738</v>
      </c>
    </row>
    <row r="132" ht="52" spans="1:10">
      <c r="A132" s="10" t="s">
        <v>619</v>
      </c>
      <c r="B132" s="9" t="s">
        <v>722</v>
      </c>
      <c r="C132" s="9" t="s">
        <v>495</v>
      </c>
      <c r="D132" s="9" t="s">
        <v>653</v>
      </c>
      <c r="E132" s="10" t="s">
        <v>739</v>
      </c>
      <c r="F132" s="10" t="s">
        <v>740</v>
      </c>
      <c r="G132" s="10" t="s">
        <v>718</v>
      </c>
      <c r="H132" s="10" t="s">
        <v>741</v>
      </c>
      <c r="I132" s="10" t="s">
        <v>742</v>
      </c>
      <c r="J132" s="10" t="s">
        <v>743</v>
      </c>
    </row>
    <row r="133" ht="14.5" spans="1:10">
      <c r="A133" s="18" t="s">
        <v>617</v>
      </c>
      <c r="B133" s="19" t="s">
        <v>744</v>
      </c>
      <c r="C133" s="20"/>
      <c r="D133" s="20"/>
      <c r="E133" s="20"/>
      <c r="F133" s="20"/>
      <c r="G133" s="20"/>
      <c r="H133" s="20"/>
      <c r="I133" s="20"/>
      <c r="J133" s="20"/>
    </row>
    <row r="134" ht="52" spans="1:10">
      <c r="A134" s="10" t="s">
        <v>619</v>
      </c>
      <c r="B134" s="9" t="s">
        <v>744</v>
      </c>
      <c r="C134" s="9" t="s">
        <v>481</v>
      </c>
      <c r="D134" s="9" t="s">
        <v>482</v>
      </c>
      <c r="E134" s="10" t="s">
        <v>745</v>
      </c>
      <c r="F134" s="10" t="s">
        <v>746</v>
      </c>
      <c r="G134" s="10" t="s">
        <v>747</v>
      </c>
      <c r="H134" s="10" t="s">
        <v>748</v>
      </c>
      <c r="I134" s="10" t="s">
        <v>482</v>
      </c>
      <c r="J134" s="10" t="s">
        <v>482</v>
      </c>
    </row>
    <row r="135" ht="52" spans="1:10">
      <c r="A135" s="10" t="s">
        <v>619</v>
      </c>
      <c r="B135" s="9" t="s">
        <v>744</v>
      </c>
      <c r="C135" s="9" t="s">
        <v>481</v>
      </c>
      <c r="D135" s="9" t="s">
        <v>482</v>
      </c>
      <c r="E135" s="10" t="s">
        <v>749</v>
      </c>
      <c r="F135" s="10" t="s">
        <v>750</v>
      </c>
      <c r="G135" s="10" t="s">
        <v>751</v>
      </c>
      <c r="H135" s="10" t="s">
        <v>752</v>
      </c>
      <c r="I135" s="10" t="s">
        <v>482</v>
      </c>
      <c r="J135" s="10" t="s">
        <v>482</v>
      </c>
    </row>
    <row r="136" ht="52" spans="1:10">
      <c r="A136" s="10" t="s">
        <v>619</v>
      </c>
      <c r="B136" s="9" t="s">
        <v>744</v>
      </c>
      <c r="C136" s="9" t="s">
        <v>495</v>
      </c>
      <c r="D136" s="9" t="s">
        <v>632</v>
      </c>
      <c r="E136" s="10" t="s">
        <v>753</v>
      </c>
      <c r="F136" s="10" t="s">
        <v>754</v>
      </c>
      <c r="G136" s="10" t="s">
        <v>755</v>
      </c>
      <c r="H136" s="10" t="s">
        <v>756</v>
      </c>
      <c r="I136" s="10" t="s">
        <v>757</v>
      </c>
      <c r="J136" s="10" t="s">
        <v>758</v>
      </c>
    </row>
    <row r="137" ht="52" spans="1:10">
      <c r="A137" s="10" t="s">
        <v>619</v>
      </c>
      <c r="B137" s="9" t="s">
        <v>744</v>
      </c>
      <c r="C137" s="9" t="s">
        <v>495</v>
      </c>
      <c r="D137" s="9" t="s">
        <v>639</v>
      </c>
      <c r="E137" s="10" t="s">
        <v>759</v>
      </c>
      <c r="F137" s="10" t="s">
        <v>760</v>
      </c>
      <c r="G137" s="10" t="s">
        <v>761</v>
      </c>
      <c r="H137" s="10" t="s">
        <v>762</v>
      </c>
      <c r="I137" s="10" t="s">
        <v>763</v>
      </c>
      <c r="J137" s="10" t="s">
        <v>764</v>
      </c>
    </row>
    <row r="138" ht="52" spans="1:10">
      <c r="A138" s="10" t="s">
        <v>619</v>
      </c>
      <c r="B138" s="9" t="s">
        <v>744</v>
      </c>
      <c r="C138" s="9" t="s">
        <v>495</v>
      </c>
      <c r="D138" s="9" t="s">
        <v>646</v>
      </c>
      <c r="E138" s="10" t="s">
        <v>765</v>
      </c>
      <c r="F138" s="10" t="s">
        <v>766</v>
      </c>
      <c r="G138" s="10" t="s">
        <v>767</v>
      </c>
      <c r="H138" s="10" t="s">
        <v>768</v>
      </c>
      <c r="I138" s="10" t="s">
        <v>769</v>
      </c>
      <c r="J138" s="10" t="s">
        <v>770</v>
      </c>
    </row>
    <row r="139" ht="52" spans="1:10">
      <c r="A139" s="10" t="s">
        <v>619</v>
      </c>
      <c r="B139" s="9" t="s">
        <v>744</v>
      </c>
      <c r="C139" s="9" t="s">
        <v>495</v>
      </c>
      <c r="D139" s="9" t="s">
        <v>653</v>
      </c>
      <c r="E139" s="10" t="s">
        <v>771</v>
      </c>
      <c r="F139" s="10" t="s">
        <v>772</v>
      </c>
      <c r="G139" s="10" t="s">
        <v>773</v>
      </c>
      <c r="H139" s="10" t="s">
        <v>774</v>
      </c>
      <c r="I139" s="10" t="s">
        <v>775</v>
      </c>
      <c r="J139" s="10" t="s">
        <v>776</v>
      </c>
    </row>
  </sheetData>
  <mergeCells count="20">
    <mergeCell ref="A1:J1"/>
    <mergeCell ref="B3:J3"/>
    <mergeCell ref="B24:J24"/>
    <mergeCell ref="B37:J37"/>
    <mergeCell ref="B44:J44"/>
    <mergeCell ref="B52:J52"/>
    <mergeCell ref="B60:J60"/>
    <mergeCell ref="B70:J70"/>
    <mergeCell ref="B71:J71"/>
    <mergeCell ref="B79:J79"/>
    <mergeCell ref="B80:J80"/>
    <mergeCell ref="B88:J88"/>
    <mergeCell ref="B89:J89"/>
    <mergeCell ref="B97:J97"/>
    <mergeCell ref="B98:J98"/>
    <mergeCell ref="B106:J106"/>
    <mergeCell ref="B114:J114"/>
    <mergeCell ref="B121:J121"/>
    <mergeCell ref="B127:J127"/>
    <mergeCell ref="B133:J13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0"/>
  <sheetViews>
    <sheetView workbookViewId="0">
      <selection activeCell="A1" sqref="A1:G1"/>
    </sheetView>
  </sheetViews>
  <sheetFormatPr defaultColWidth="9" defaultRowHeight="14" outlineLevelCol="6"/>
  <cols>
    <col min="1" max="1" width="16" customWidth="1"/>
    <col min="2" max="2" width="22" customWidth="1"/>
    <col min="3" max="4" width="30" customWidth="1"/>
    <col min="5" max="5" width="14" customWidth="1"/>
    <col min="6" max="6" width="40" customWidth="1"/>
    <col min="7" max="7" width="10" customWidth="1"/>
  </cols>
  <sheetData>
    <row r="1" ht="24" customHeight="1" spans="1:7">
      <c r="A1" s="1" t="s">
        <v>777</v>
      </c>
    </row>
    <row r="2" ht="14.5" spans="1:7">
      <c r="A2" s="2" t="s">
        <v>778</v>
      </c>
    </row>
    <row r="3" ht="14.5" spans="1:7">
      <c r="A3" s="3" t="s">
        <v>26</v>
      </c>
      <c r="B3" s="3" t="s">
        <v>779</v>
      </c>
      <c r="C3" s="3" t="s">
        <v>780</v>
      </c>
      <c r="D3" s="3" t="s">
        <v>781</v>
      </c>
      <c r="E3" s="3" t="s">
        <v>782</v>
      </c>
      <c r="F3" s="3" t="s">
        <v>783</v>
      </c>
      <c r="G3" s="3" t="s">
        <v>784</v>
      </c>
    </row>
    <row r="4" ht="26" spans="1:7">
      <c r="A4" s="9" t="s">
        <v>111</v>
      </c>
      <c r="B4" s="15" t="s">
        <v>785</v>
      </c>
      <c r="C4" s="10" t="s">
        <v>786</v>
      </c>
      <c r="D4" s="10" t="s">
        <v>787</v>
      </c>
      <c r="E4" s="9" t="s">
        <v>788</v>
      </c>
      <c r="F4" s="10" t="s">
        <v>789</v>
      </c>
      <c r="G4" s="9" t="s">
        <v>790</v>
      </c>
    </row>
    <row r="5" ht="26" spans="1:7">
      <c r="A5" s="9" t="s">
        <v>111</v>
      </c>
      <c r="B5" s="15" t="s">
        <v>785</v>
      </c>
      <c r="C5" s="10" t="s">
        <v>791</v>
      </c>
      <c r="D5" s="10" t="s">
        <v>792</v>
      </c>
      <c r="E5" s="9" t="s">
        <v>479</v>
      </c>
      <c r="F5" s="10" t="s">
        <v>793</v>
      </c>
      <c r="G5" s="9" t="s">
        <v>790</v>
      </c>
    </row>
    <row r="6" ht="26" spans="1:7">
      <c r="A6" s="9" t="s">
        <v>111</v>
      </c>
      <c r="B6" s="15" t="s">
        <v>785</v>
      </c>
      <c r="C6" s="10" t="s">
        <v>794</v>
      </c>
      <c r="D6" s="10" t="s">
        <v>795</v>
      </c>
      <c r="E6" s="9" t="s">
        <v>479</v>
      </c>
      <c r="F6" s="10" t="s">
        <v>796</v>
      </c>
      <c r="G6" s="9" t="s">
        <v>790</v>
      </c>
    </row>
    <row r="7" ht="26" spans="1:7">
      <c r="A7" s="9" t="s">
        <v>111</v>
      </c>
      <c r="B7" s="15" t="s">
        <v>785</v>
      </c>
      <c r="C7" s="10" t="s">
        <v>797</v>
      </c>
      <c r="D7" s="10" t="s">
        <v>798</v>
      </c>
      <c r="E7" s="9" t="s">
        <v>479</v>
      </c>
      <c r="F7" s="10" t="s">
        <v>799</v>
      </c>
      <c r="G7" s="9" t="s">
        <v>790</v>
      </c>
    </row>
    <row r="8" ht="26" spans="1:7">
      <c r="A8" s="9" t="s">
        <v>111</v>
      </c>
      <c r="B8" s="15" t="s">
        <v>785</v>
      </c>
      <c r="C8" s="10" t="s">
        <v>800</v>
      </c>
      <c r="D8" s="10" t="s">
        <v>801</v>
      </c>
      <c r="E8" s="9" t="s">
        <v>802</v>
      </c>
      <c r="F8" s="10" t="s">
        <v>803</v>
      </c>
      <c r="G8" s="9" t="s">
        <v>804</v>
      </c>
    </row>
    <row r="9" ht="26" spans="1:7">
      <c r="A9" s="9" t="s">
        <v>111</v>
      </c>
      <c r="B9" s="15" t="s">
        <v>785</v>
      </c>
      <c r="C9" s="10" t="s">
        <v>805</v>
      </c>
      <c r="D9" s="10" t="s">
        <v>806</v>
      </c>
      <c r="E9" s="9" t="s">
        <v>583</v>
      </c>
      <c r="F9" s="10" t="s">
        <v>807</v>
      </c>
      <c r="G9" s="9" t="s">
        <v>804</v>
      </c>
    </row>
    <row r="10" ht="26" spans="1:7">
      <c r="A10" s="9" t="s">
        <v>111</v>
      </c>
      <c r="B10" s="15" t="s">
        <v>785</v>
      </c>
      <c r="C10" s="10" t="s">
        <v>808</v>
      </c>
      <c r="D10" s="10" t="s">
        <v>809</v>
      </c>
      <c r="E10" s="9" t="s">
        <v>810</v>
      </c>
      <c r="F10" s="10" t="s">
        <v>811</v>
      </c>
      <c r="G10" s="9" t="s">
        <v>804</v>
      </c>
    </row>
    <row r="11" ht="26" spans="1:7">
      <c r="A11" s="9" t="s">
        <v>111</v>
      </c>
      <c r="B11" s="15" t="s">
        <v>785</v>
      </c>
      <c r="C11" s="10" t="s">
        <v>812</v>
      </c>
      <c r="D11" s="10" t="s">
        <v>813</v>
      </c>
      <c r="E11" s="9" t="s">
        <v>814</v>
      </c>
      <c r="F11" s="10" t="s">
        <v>815</v>
      </c>
      <c r="G11" s="9" t="s">
        <v>790</v>
      </c>
    </row>
    <row r="12" ht="26" spans="1:7">
      <c r="A12" s="9" t="s">
        <v>111</v>
      </c>
      <c r="B12" s="15" t="s">
        <v>785</v>
      </c>
      <c r="C12" s="10" t="s">
        <v>816</v>
      </c>
      <c r="D12" s="10" t="s">
        <v>817</v>
      </c>
      <c r="E12" s="9" t="s">
        <v>818</v>
      </c>
      <c r="F12" s="10" t="s">
        <v>819</v>
      </c>
      <c r="G12" s="9" t="s">
        <v>790</v>
      </c>
    </row>
    <row r="13" ht="26" spans="1:7">
      <c r="A13" s="9" t="s">
        <v>111</v>
      </c>
      <c r="B13" s="15" t="s">
        <v>785</v>
      </c>
      <c r="C13" s="10" t="s">
        <v>820</v>
      </c>
      <c r="D13" s="10" t="s">
        <v>821</v>
      </c>
      <c r="E13" s="9" t="s">
        <v>822</v>
      </c>
      <c r="F13" s="10" t="s">
        <v>823</v>
      </c>
      <c r="G13" s="9" t="s">
        <v>804</v>
      </c>
    </row>
    <row r="14" ht="26" spans="1:7">
      <c r="A14" s="9" t="s">
        <v>111</v>
      </c>
      <c r="B14" s="15" t="s">
        <v>785</v>
      </c>
      <c r="C14" s="10" t="s">
        <v>824</v>
      </c>
      <c r="D14" s="10" t="s">
        <v>825</v>
      </c>
      <c r="E14" s="9" t="s">
        <v>822</v>
      </c>
      <c r="F14" s="10" t="s">
        <v>826</v>
      </c>
      <c r="G14" s="9" t="s">
        <v>827</v>
      </c>
    </row>
    <row r="15" ht="26" spans="1:7">
      <c r="A15" s="9" t="s">
        <v>111</v>
      </c>
      <c r="B15" s="16" t="s">
        <v>828</v>
      </c>
      <c r="C15" s="10" t="s">
        <v>829</v>
      </c>
      <c r="D15" s="10" t="s">
        <v>830</v>
      </c>
      <c r="E15" s="9" t="s">
        <v>822</v>
      </c>
      <c r="F15" s="10" t="s">
        <v>831</v>
      </c>
      <c r="G15" s="9" t="s">
        <v>832</v>
      </c>
    </row>
    <row r="16" ht="26" spans="1:7">
      <c r="A16" s="9" t="s">
        <v>111</v>
      </c>
      <c r="B16" s="16" t="s">
        <v>828</v>
      </c>
      <c r="C16" s="10" t="s">
        <v>833</v>
      </c>
      <c r="D16" s="10" t="s">
        <v>834</v>
      </c>
      <c r="E16" s="9" t="s">
        <v>835</v>
      </c>
      <c r="F16" s="10" t="s">
        <v>836</v>
      </c>
      <c r="G16" s="9" t="s">
        <v>832</v>
      </c>
    </row>
    <row r="17" ht="26" spans="1:7">
      <c r="A17" s="9" t="s">
        <v>111</v>
      </c>
      <c r="B17" s="16" t="s">
        <v>828</v>
      </c>
      <c r="C17" s="10" t="s">
        <v>837</v>
      </c>
      <c r="D17" s="10" t="s">
        <v>838</v>
      </c>
      <c r="E17" s="9" t="s">
        <v>818</v>
      </c>
      <c r="F17" s="10" t="s">
        <v>839</v>
      </c>
      <c r="G17" s="9" t="s">
        <v>832</v>
      </c>
    </row>
    <row r="18" ht="26" spans="1:7">
      <c r="A18" s="9" t="s">
        <v>111</v>
      </c>
      <c r="B18" s="16" t="s">
        <v>828</v>
      </c>
      <c r="C18" s="10" t="s">
        <v>840</v>
      </c>
      <c r="D18" s="10" t="s">
        <v>841</v>
      </c>
      <c r="E18" s="9" t="s">
        <v>583</v>
      </c>
      <c r="F18" s="10" t="s">
        <v>842</v>
      </c>
      <c r="G18" s="9" t="s">
        <v>832</v>
      </c>
    </row>
    <row r="19" ht="26" spans="1:7">
      <c r="A19" s="9" t="s">
        <v>111</v>
      </c>
      <c r="B19" s="16" t="s">
        <v>828</v>
      </c>
      <c r="C19" s="10" t="s">
        <v>843</v>
      </c>
      <c r="D19" s="10" t="s">
        <v>844</v>
      </c>
      <c r="E19" s="9" t="s">
        <v>814</v>
      </c>
      <c r="F19" s="10" t="s">
        <v>845</v>
      </c>
      <c r="G19" s="9" t="s">
        <v>832</v>
      </c>
    </row>
    <row r="20" ht="26" spans="1:7">
      <c r="A20" s="9" t="s">
        <v>111</v>
      </c>
      <c r="B20" s="16" t="s">
        <v>828</v>
      </c>
      <c r="C20" s="10" t="s">
        <v>846</v>
      </c>
      <c r="D20" s="10" t="s">
        <v>433</v>
      </c>
      <c r="E20" s="9" t="s">
        <v>847</v>
      </c>
      <c r="F20" s="10" t="s">
        <v>848</v>
      </c>
      <c r="G20" s="9" t="s">
        <v>832</v>
      </c>
    </row>
    <row r="21" ht="26" spans="1:7">
      <c r="A21" s="9" t="s">
        <v>111</v>
      </c>
      <c r="B21" s="16" t="s">
        <v>828</v>
      </c>
      <c r="C21" s="10" t="s">
        <v>849</v>
      </c>
      <c r="D21" s="10" t="s">
        <v>850</v>
      </c>
      <c r="E21" s="9" t="s">
        <v>822</v>
      </c>
      <c r="F21" s="10" t="s">
        <v>851</v>
      </c>
      <c r="G21" s="9" t="s">
        <v>832</v>
      </c>
    </row>
    <row r="22" ht="26" spans="1:7">
      <c r="A22" s="9" t="s">
        <v>111</v>
      </c>
      <c r="B22" s="17" t="s">
        <v>852</v>
      </c>
      <c r="C22" s="10" t="s">
        <v>853</v>
      </c>
      <c r="D22" s="10" t="s">
        <v>854</v>
      </c>
      <c r="E22" s="9" t="s">
        <v>810</v>
      </c>
      <c r="F22" s="10" t="s">
        <v>855</v>
      </c>
      <c r="G22" s="9" t="s">
        <v>856</v>
      </c>
    </row>
    <row r="23" ht="26" spans="1:7">
      <c r="A23" s="9" t="s">
        <v>111</v>
      </c>
      <c r="B23" s="17" t="s">
        <v>852</v>
      </c>
      <c r="C23" s="10" t="s">
        <v>857</v>
      </c>
      <c r="D23" s="10" t="s">
        <v>858</v>
      </c>
      <c r="E23" s="9" t="s">
        <v>802</v>
      </c>
      <c r="F23" s="10" t="s">
        <v>859</v>
      </c>
      <c r="G23" s="9" t="s">
        <v>860</v>
      </c>
    </row>
    <row r="24" ht="26" spans="1:7">
      <c r="A24" s="9" t="s">
        <v>480</v>
      </c>
      <c r="B24" s="15" t="s">
        <v>785</v>
      </c>
      <c r="C24" s="10" t="s">
        <v>800</v>
      </c>
      <c r="D24" s="10" t="s">
        <v>861</v>
      </c>
      <c r="E24" s="9" t="s">
        <v>862</v>
      </c>
      <c r="F24" s="10" t="s">
        <v>863</v>
      </c>
      <c r="G24" s="9" t="s">
        <v>864</v>
      </c>
    </row>
    <row r="25" ht="26" spans="1:7">
      <c r="A25" s="9" t="s">
        <v>480</v>
      </c>
      <c r="B25" s="15" t="s">
        <v>785</v>
      </c>
      <c r="C25" s="10" t="s">
        <v>805</v>
      </c>
      <c r="D25" s="10" t="s">
        <v>806</v>
      </c>
      <c r="E25" s="9" t="s">
        <v>865</v>
      </c>
      <c r="F25" s="10" t="s">
        <v>807</v>
      </c>
      <c r="G25" s="9" t="s">
        <v>864</v>
      </c>
    </row>
    <row r="26" ht="26" spans="1:7">
      <c r="A26" s="9" t="s">
        <v>480</v>
      </c>
      <c r="B26" s="15" t="s">
        <v>785</v>
      </c>
      <c r="C26" s="10" t="s">
        <v>808</v>
      </c>
      <c r="D26" s="10" t="s">
        <v>866</v>
      </c>
      <c r="E26" s="9" t="s">
        <v>867</v>
      </c>
      <c r="F26" s="10" t="s">
        <v>868</v>
      </c>
      <c r="G26" s="9" t="s">
        <v>864</v>
      </c>
    </row>
    <row r="27" ht="26" spans="1:7">
      <c r="A27" s="9" t="s">
        <v>480</v>
      </c>
      <c r="B27" s="15" t="s">
        <v>785</v>
      </c>
      <c r="C27" s="10" t="s">
        <v>812</v>
      </c>
      <c r="D27" s="10" t="s">
        <v>869</v>
      </c>
      <c r="E27" s="9" t="s">
        <v>867</v>
      </c>
      <c r="F27" s="10" t="s">
        <v>815</v>
      </c>
      <c r="G27" s="9" t="s">
        <v>870</v>
      </c>
    </row>
    <row r="28" ht="26" spans="1:7">
      <c r="A28" s="9" t="s">
        <v>480</v>
      </c>
      <c r="B28" s="15" t="s">
        <v>785</v>
      </c>
      <c r="C28" s="10" t="s">
        <v>816</v>
      </c>
      <c r="D28" s="10" t="s">
        <v>871</v>
      </c>
      <c r="E28" s="9" t="s">
        <v>872</v>
      </c>
      <c r="F28" s="10" t="s">
        <v>819</v>
      </c>
      <c r="G28" s="9" t="s">
        <v>870</v>
      </c>
    </row>
    <row r="29" ht="26" spans="1:7">
      <c r="A29" s="9" t="s">
        <v>480</v>
      </c>
      <c r="B29" s="15" t="s">
        <v>785</v>
      </c>
      <c r="C29" s="10" t="s">
        <v>820</v>
      </c>
      <c r="D29" s="10" t="s">
        <v>821</v>
      </c>
      <c r="E29" s="9" t="s">
        <v>862</v>
      </c>
      <c r="F29" s="10" t="s">
        <v>873</v>
      </c>
      <c r="G29" s="9" t="s">
        <v>874</v>
      </c>
    </row>
    <row r="30" ht="26" spans="1:7">
      <c r="A30" s="9" t="s">
        <v>480</v>
      </c>
      <c r="B30" s="15" t="s">
        <v>785</v>
      </c>
      <c r="C30" s="10" t="s">
        <v>824</v>
      </c>
      <c r="D30" s="10" t="s">
        <v>825</v>
      </c>
      <c r="E30" s="9" t="s">
        <v>862</v>
      </c>
      <c r="F30" s="10" t="s">
        <v>826</v>
      </c>
      <c r="G30" s="9" t="s">
        <v>870</v>
      </c>
    </row>
    <row r="31" ht="26" spans="1:7">
      <c r="A31" s="9" t="s">
        <v>480</v>
      </c>
      <c r="B31" s="16" t="s">
        <v>828</v>
      </c>
      <c r="C31" s="10" t="s">
        <v>829</v>
      </c>
      <c r="D31" s="10" t="s">
        <v>875</v>
      </c>
      <c r="E31" s="9" t="s">
        <v>862</v>
      </c>
      <c r="F31" s="10" t="s">
        <v>831</v>
      </c>
      <c r="G31" s="9" t="s">
        <v>870</v>
      </c>
    </row>
    <row r="32" ht="26" spans="1:7">
      <c r="A32" s="9" t="s">
        <v>480</v>
      </c>
      <c r="B32" s="16" t="s">
        <v>828</v>
      </c>
      <c r="C32" s="10" t="s">
        <v>876</v>
      </c>
      <c r="D32" s="10" t="s">
        <v>877</v>
      </c>
      <c r="E32" s="9" t="s">
        <v>479</v>
      </c>
      <c r="F32" s="10" t="s">
        <v>878</v>
      </c>
      <c r="G32" s="9" t="s">
        <v>832</v>
      </c>
    </row>
    <row r="33" ht="26" spans="1:7">
      <c r="A33" s="9" t="s">
        <v>480</v>
      </c>
      <c r="B33" s="16" t="s">
        <v>828</v>
      </c>
      <c r="C33" s="10" t="s">
        <v>879</v>
      </c>
      <c r="D33" s="10" t="s">
        <v>880</v>
      </c>
      <c r="E33" s="9" t="s">
        <v>865</v>
      </c>
      <c r="F33" s="10" t="s">
        <v>881</v>
      </c>
      <c r="G33" s="9" t="s">
        <v>832</v>
      </c>
    </row>
    <row r="34" ht="26" spans="1:7">
      <c r="A34" s="9" t="s">
        <v>480</v>
      </c>
      <c r="B34" s="16" t="s">
        <v>828</v>
      </c>
      <c r="C34" s="10" t="s">
        <v>882</v>
      </c>
      <c r="D34" s="10" t="s">
        <v>883</v>
      </c>
      <c r="E34" s="9" t="s">
        <v>862</v>
      </c>
      <c r="F34" s="10" t="s">
        <v>884</v>
      </c>
      <c r="G34" s="9" t="s">
        <v>832</v>
      </c>
    </row>
    <row r="35" ht="26" spans="1:7">
      <c r="A35" s="9" t="s">
        <v>480</v>
      </c>
      <c r="B35" s="16" t="s">
        <v>828</v>
      </c>
      <c r="C35" s="10" t="s">
        <v>885</v>
      </c>
      <c r="D35" s="10" t="s">
        <v>886</v>
      </c>
      <c r="E35" s="9" t="s">
        <v>867</v>
      </c>
      <c r="F35" s="10" t="s">
        <v>887</v>
      </c>
      <c r="G35" s="9" t="s">
        <v>870</v>
      </c>
    </row>
    <row r="36" ht="26" spans="1:7">
      <c r="A36" s="9" t="s">
        <v>480</v>
      </c>
      <c r="B36" s="16" t="s">
        <v>828</v>
      </c>
      <c r="C36" s="10" t="s">
        <v>843</v>
      </c>
      <c r="D36" s="10" t="s">
        <v>414</v>
      </c>
      <c r="E36" s="9" t="s">
        <v>867</v>
      </c>
      <c r="F36" s="10" t="s">
        <v>888</v>
      </c>
      <c r="G36" s="9" t="s">
        <v>870</v>
      </c>
    </row>
    <row r="37" ht="26" spans="1:7">
      <c r="A37" s="9" t="s">
        <v>480</v>
      </c>
      <c r="B37" s="16" t="s">
        <v>828</v>
      </c>
      <c r="C37" s="10" t="s">
        <v>889</v>
      </c>
      <c r="D37" s="10" t="s">
        <v>890</v>
      </c>
      <c r="E37" s="9" t="s">
        <v>872</v>
      </c>
      <c r="F37" s="10" t="s">
        <v>891</v>
      </c>
      <c r="G37" s="9" t="s">
        <v>870</v>
      </c>
    </row>
    <row r="38" ht="26" spans="1:7">
      <c r="A38" s="9" t="s">
        <v>480</v>
      </c>
      <c r="B38" s="16" t="s">
        <v>828</v>
      </c>
      <c r="C38" s="10" t="s">
        <v>892</v>
      </c>
      <c r="D38" s="10" t="s">
        <v>893</v>
      </c>
      <c r="E38" s="9" t="s">
        <v>872</v>
      </c>
      <c r="F38" s="10" t="s">
        <v>894</v>
      </c>
      <c r="G38" s="9" t="s">
        <v>870</v>
      </c>
    </row>
    <row r="39" ht="26" spans="1:7">
      <c r="A39" s="9" t="s">
        <v>480</v>
      </c>
      <c r="B39" s="16" t="s">
        <v>828</v>
      </c>
      <c r="C39" s="10" t="s">
        <v>895</v>
      </c>
      <c r="D39" s="10" t="s">
        <v>896</v>
      </c>
      <c r="E39" s="9" t="s">
        <v>583</v>
      </c>
      <c r="F39" s="10" t="s">
        <v>897</v>
      </c>
      <c r="G39" s="9" t="s">
        <v>870</v>
      </c>
    </row>
    <row r="40" ht="26" spans="1:7">
      <c r="A40" s="9" t="s">
        <v>480</v>
      </c>
      <c r="B40" s="16" t="s">
        <v>828</v>
      </c>
      <c r="C40" s="10" t="s">
        <v>849</v>
      </c>
      <c r="D40" s="10" t="s">
        <v>898</v>
      </c>
      <c r="E40" s="9" t="s">
        <v>862</v>
      </c>
      <c r="F40" s="10" t="s">
        <v>899</v>
      </c>
      <c r="G40" s="9" t="s">
        <v>832</v>
      </c>
    </row>
    <row r="41" ht="26" spans="1:7">
      <c r="A41" s="9" t="s">
        <v>480</v>
      </c>
      <c r="B41" s="17" t="s">
        <v>852</v>
      </c>
      <c r="C41" s="10" t="s">
        <v>900</v>
      </c>
      <c r="D41" s="10" t="s">
        <v>901</v>
      </c>
      <c r="E41" s="9" t="s">
        <v>867</v>
      </c>
      <c r="F41" s="10" t="s">
        <v>902</v>
      </c>
      <c r="G41" s="9" t="s">
        <v>903</v>
      </c>
    </row>
    <row r="42" ht="26" spans="1:7">
      <c r="A42" s="9" t="s">
        <v>480</v>
      </c>
      <c r="B42" s="17" t="s">
        <v>852</v>
      </c>
      <c r="C42" s="10" t="s">
        <v>904</v>
      </c>
      <c r="D42" s="10" t="s">
        <v>905</v>
      </c>
      <c r="E42" s="9" t="s">
        <v>862</v>
      </c>
      <c r="F42" s="10" t="s">
        <v>906</v>
      </c>
      <c r="G42" s="9" t="s">
        <v>907</v>
      </c>
    </row>
    <row r="43" ht="26" spans="1:7">
      <c r="A43" s="9" t="s">
        <v>619</v>
      </c>
      <c r="B43" s="15" t="s">
        <v>785</v>
      </c>
      <c r="C43" s="10" t="s">
        <v>908</v>
      </c>
      <c r="D43" s="10" t="s">
        <v>909</v>
      </c>
      <c r="E43" s="9" t="s">
        <v>910</v>
      </c>
      <c r="F43" s="10" t="s">
        <v>911</v>
      </c>
      <c r="G43" s="9" t="s">
        <v>790</v>
      </c>
    </row>
    <row r="44" ht="39" spans="1:7">
      <c r="A44" s="9" t="s">
        <v>619</v>
      </c>
      <c r="B44" s="15" t="s">
        <v>785</v>
      </c>
      <c r="C44" s="10" t="s">
        <v>912</v>
      </c>
      <c r="D44" s="10" t="s">
        <v>913</v>
      </c>
      <c r="E44" s="9" t="s">
        <v>872</v>
      </c>
      <c r="F44" s="10" t="s">
        <v>914</v>
      </c>
      <c r="G44" s="9" t="s">
        <v>790</v>
      </c>
    </row>
    <row r="45" ht="26" spans="1:7">
      <c r="A45" s="9" t="s">
        <v>619</v>
      </c>
      <c r="B45" s="15" t="s">
        <v>785</v>
      </c>
      <c r="C45" s="10" t="s">
        <v>915</v>
      </c>
      <c r="D45" s="10" t="s">
        <v>916</v>
      </c>
      <c r="E45" s="9" t="s">
        <v>917</v>
      </c>
      <c r="F45" s="10" t="s">
        <v>918</v>
      </c>
      <c r="G45" s="9" t="s">
        <v>790</v>
      </c>
    </row>
    <row r="46" ht="39" spans="1:7">
      <c r="A46" s="9" t="s">
        <v>619</v>
      </c>
      <c r="B46" s="15" t="s">
        <v>785</v>
      </c>
      <c r="C46" s="10" t="s">
        <v>919</v>
      </c>
      <c r="D46" s="10" t="s">
        <v>920</v>
      </c>
      <c r="E46" s="9" t="s">
        <v>921</v>
      </c>
      <c r="F46" s="10" t="s">
        <v>922</v>
      </c>
      <c r="G46" s="9" t="s">
        <v>804</v>
      </c>
    </row>
    <row r="47" ht="26" spans="1:7">
      <c r="A47" s="9" t="s">
        <v>619</v>
      </c>
      <c r="B47" s="15" t="s">
        <v>785</v>
      </c>
      <c r="C47" s="10" t="s">
        <v>923</v>
      </c>
      <c r="D47" s="10" t="s">
        <v>924</v>
      </c>
      <c r="E47" s="9" t="s">
        <v>925</v>
      </c>
      <c r="F47" s="10" t="s">
        <v>926</v>
      </c>
      <c r="G47" s="9" t="s">
        <v>927</v>
      </c>
    </row>
    <row r="48" ht="26" spans="1:7">
      <c r="A48" s="9" t="s">
        <v>619</v>
      </c>
      <c r="B48" s="15" t="s">
        <v>785</v>
      </c>
      <c r="C48" s="10" t="s">
        <v>928</v>
      </c>
      <c r="D48" s="10" t="s">
        <v>929</v>
      </c>
      <c r="E48" s="9" t="s">
        <v>479</v>
      </c>
      <c r="F48" s="10" t="s">
        <v>930</v>
      </c>
      <c r="G48" s="9" t="s">
        <v>870</v>
      </c>
    </row>
    <row r="49" ht="26" spans="1:7">
      <c r="A49" s="9" t="s">
        <v>619</v>
      </c>
      <c r="B49" s="15" t="s">
        <v>785</v>
      </c>
      <c r="C49" s="10" t="s">
        <v>824</v>
      </c>
      <c r="D49" s="10" t="s">
        <v>931</v>
      </c>
      <c r="E49" s="9" t="s">
        <v>932</v>
      </c>
      <c r="F49" s="10" t="s">
        <v>933</v>
      </c>
      <c r="G49" s="9" t="s">
        <v>827</v>
      </c>
    </row>
    <row r="50" ht="26" spans="1:7">
      <c r="A50" s="9" t="s">
        <v>619</v>
      </c>
      <c r="B50" s="16" t="s">
        <v>828</v>
      </c>
      <c r="C50" s="10" t="s">
        <v>829</v>
      </c>
      <c r="D50" s="10" t="s">
        <v>934</v>
      </c>
      <c r="E50" s="9" t="s">
        <v>932</v>
      </c>
      <c r="F50" s="10" t="s">
        <v>831</v>
      </c>
      <c r="G50" s="9" t="s">
        <v>832</v>
      </c>
    </row>
    <row r="51" ht="26" spans="1:7">
      <c r="A51" s="9" t="s">
        <v>619</v>
      </c>
      <c r="B51" s="16" t="s">
        <v>828</v>
      </c>
      <c r="C51" s="10" t="s">
        <v>935</v>
      </c>
      <c r="D51" s="10" t="s">
        <v>936</v>
      </c>
      <c r="E51" s="9" t="s">
        <v>925</v>
      </c>
      <c r="F51" s="10" t="s">
        <v>937</v>
      </c>
      <c r="G51" s="9" t="s">
        <v>938</v>
      </c>
    </row>
    <row r="52" ht="26" spans="1:7">
      <c r="A52" s="9" t="s">
        <v>619</v>
      </c>
      <c r="B52" s="16" t="s">
        <v>828</v>
      </c>
      <c r="C52" s="10" t="s">
        <v>939</v>
      </c>
      <c r="D52" s="10" t="s">
        <v>940</v>
      </c>
      <c r="E52" s="9" t="s">
        <v>925</v>
      </c>
      <c r="F52" s="10" t="s">
        <v>941</v>
      </c>
      <c r="G52" s="9" t="s">
        <v>832</v>
      </c>
    </row>
    <row r="53" ht="26" spans="1:7">
      <c r="A53" s="9" t="s">
        <v>619</v>
      </c>
      <c r="B53" s="16" t="s">
        <v>828</v>
      </c>
      <c r="C53" s="10" t="s">
        <v>942</v>
      </c>
      <c r="D53" s="10" t="s">
        <v>943</v>
      </c>
      <c r="E53" s="9" t="s">
        <v>517</v>
      </c>
      <c r="F53" s="10" t="s">
        <v>944</v>
      </c>
      <c r="G53" s="9" t="s">
        <v>832</v>
      </c>
    </row>
    <row r="54" ht="26" spans="1:7">
      <c r="A54" s="9" t="s">
        <v>619</v>
      </c>
      <c r="B54" s="16" t="s">
        <v>828</v>
      </c>
      <c r="C54" s="10" t="s">
        <v>945</v>
      </c>
      <c r="D54" s="10" t="s">
        <v>946</v>
      </c>
      <c r="E54" s="9" t="s">
        <v>910</v>
      </c>
      <c r="F54" s="10" t="s">
        <v>947</v>
      </c>
      <c r="G54" s="9" t="s">
        <v>832</v>
      </c>
    </row>
    <row r="55" ht="26" spans="1:7">
      <c r="A55" s="9" t="s">
        <v>619</v>
      </c>
      <c r="B55" s="16" t="s">
        <v>828</v>
      </c>
      <c r="C55" s="10" t="s">
        <v>948</v>
      </c>
      <c r="D55" s="10" t="s">
        <v>949</v>
      </c>
      <c r="E55" s="9" t="s">
        <v>921</v>
      </c>
      <c r="F55" s="10" t="s">
        <v>950</v>
      </c>
      <c r="G55" s="9" t="s">
        <v>832</v>
      </c>
    </row>
    <row r="56" ht="26" spans="1:7">
      <c r="A56" s="9" t="s">
        <v>619</v>
      </c>
      <c r="B56" s="16" t="s">
        <v>828</v>
      </c>
      <c r="C56" s="10" t="s">
        <v>951</v>
      </c>
      <c r="D56" s="10" t="s">
        <v>952</v>
      </c>
      <c r="E56" s="9" t="s">
        <v>921</v>
      </c>
      <c r="F56" s="10" t="s">
        <v>953</v>
      </c>
      <c r="G56" s="9" t="s">
        <v>832</v>
      </c>
    </row>
    <row r="57" ht="26" spans="1:7">
      <c r="A57" s="9" t="s">
        <v>619</v>
      </c>
      <c r="B57" s="16" t="s">
        <v>828</v>
      </c>
      <c r="C57" s="10" t="s">
        <v>849</v>
      </c>
      <c r="D57" s="10" t="s">
        <v>954</v>
      </c>
      <c r="E57" s="9" t="s">
        <v>932</v>
      </c>
      <c r="F57" s="10" t="s">
        <v>955</v>
      </c>
      <c r="G57" s="9" t="s">
        <v>832</v>
      </c>
    </row>
    <row r="58" ht="26" spans="1:7">
      <c r="A58" s="9" t="s">
        <v>619</v>
      </c>
      <c r="B58" s="17" t="s">
        <v>852</v>
      </c>
      <c r="C58" s="10" t="s">
        <v>956</v>
      </c>
      <c r="D58" s="10" t="s">
        <v>957</v>
      </c>
      <c r="E58" s="9" t="s">
        <v>872</v>
      </c>
      <c r="F58" s="10" t="s">
        <v>958</v>
      </c>
      <c r="G58" s="9" t="s">
        <v>959</v>
      </c>
    </row>
    <row r="59" ht="26" spans="1:7">
      <c r="A59" s="9" t="s">
        <v>619</v>
      </c>
      <c r="B59" s="17" t="s">
        <v>852</v>
      </c>
      <c r="C59" s="10" t="s">
        <v>960</v>
      </c>
      <c r="D59" s="10" t="s">
        <v>961</v>
      </c>
      <c r="E59" s="9" t="s">
        <v>921</v>
      </c>
      <c r="F59" s="10" t="s">
        <v>962</v>
      </c>
      <c r="G59" s="9" t="s">
        <v>907</v>
      </c>
    </row>
    <row r="60" ht="26" spans="1:7">
      <c r="A60" s="9" t="s">
        <v>619</v>
      </c>
      <c r="B60" s="17" t="s">
        <v>852</v>
      </c>
      <c r="C60" s="10" t="s">
        <v>857</v>
      </c>
      <c r="D60" s="10" t="s">
        <v>963</v>
      </c>
      <c r="E60" s="9" t="s">
        <v>932</v>
      </c>
      <c r="F60" s="10" t="s">
        <v>964</v>
      </c>
      <c r="G60" s="9" t="s">
        <v>907</v>
      </c>
    </row>
  </sheetData>
  <mergeCells count="2">
    <mergeCell ref="A1:G1"/>
    <mergeCell ref="A2:G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I12" sqref="I12"/>
    </sheetView>
  </sheetViews>
  <sheetFormatPr defaultColWidth="9" defaultRowHeight="14" outlineLevelCol="6"/>
  <cols>
    <col min="1" max="1" width="14" customWidth="1"/>
    <col min="2" max="2" width="26" customWidth="1"/>
    <col min="3" max="3" width="28" customWidth="1"/>
    <col min="4" max="4" width="26" customWidth="1"/>
    <col min="5" max="5" width="44" customWidth="1"/>
    <col min="6" max="7" width="10" customWidth="1"/>
  </cols>
  <sheetData>
    <row r="1" ht="24" customHeight="1" spans="1:7">
      <c r="A1" s="1" t="s">
        <v>965</v>
      </c>
    </row>
    <row r="2" ht="14.5" spans="1:7">
      <c r="A2" s="2" t="s">
        <v>966</v>
      </c>
    </row>
    <row r="3" ht="14.5" spans="1:7">
      <c r="A3" s="3" t="s">
        <v>26</v>
      </c>
      <c r="B3" s="3" t="s">
        <v>967</v>
      </c>
      <c r="C3" s="3" t="s">
        <v>968</v>
      </c>
      <c r="D3" s="3" t="s">
        <v>969</v>
      </c>
      <c r="E3" s="3" t="s">
        <v>970</v>
      </c>
      <c r="F3" s="3" t="s">
        <v>971</v>
      </c>
      <c r="G3" s="3" t="s">
        <v>972</v>
      </c>
    </row>
    <row r="4" ht="26" spans="1:7">
      <c r="A4" s="9" t="s">
        <v>111</v>
      </c>
      <c r="B4" s="9" t="s">
        <v>973</v>
      </c>
      <c r="C4" s="9" t="s">
        <v>974</v>
      </c>
      <c r="D4" s="9" t="s">
        <v>975</v>
      </c>
      <c r="E4" s="10" t="s">
        <v>976</v>
      </c>
      <c r="F4" s="9">
        <v>15</v>
      </c>
      <c r="G4" s="9"/>
    </row>
    <row r="5" ht="26" spans="1:7">
      <c r="A5" s="9" t="s">
        <v>111</v>
      </c>
      <c r="B5" s="9" t="s">
        <v>977</v>
      </c>
      <c r="C5" s="9" t="s">
        <v>978</v>
      </c>
      <c r="D5" s="9" t="s">
        <v>979</v>
      </c>
      <c r="E5" s="10" t="s">
        <v>980</v>
      </c>
      <c r="F5" s="9">
        <v>15</v>
      </c>
      <c r="G5" s="9"/>
    </row>
    <row r="6" ht="26" spans="1:7">
      <c r="A6" s="9" t="s">
        <v>111</v>
      </c>
      <c r="B6" s="9" t="s">
        <v>981</v>
      </c>
      <c r="C6" s="9" t="s">
        <v>982</v>
      </c>
      <c r="D6" s="9" t="s">
        <v>983</v>
      </c>
      <c r="E6" s="10" t="s">
        <v>984</v>
      </c>
      <c r="F6" s="9">
        <v>15</v>
      </c>
      <c r="G6" s="9"/>
    </row>
    <row r="7" ht="26" spans="1:7">
      <c r="A7" s="9" t="s">
        <v>111</v>
      </c>
      <c r="B7" s="9" t="s">
        <v>985</v>
      </c>
      <c r="C7" s="9" t="s">
        <v>986</v>
      </c>
      <c r="D7" s="9" t="s">
        <v>987</v>
      </c>
      <c r="E7" s="10" t="s">
        <v>988</v>
      </c>
      <c r="F7" s="9">
        <v>15</v>
      </c>
      <c r="G7" s="9"/>
    </row>
    <row r="8" ht="26" spans="1:7">
      <c r="A8" s="9" t="s">
        <v>111</v>
      </c>
      <c r="B8" s="9" t="s">
        <v>989</v>
      </c>
      <c r="C8" s="9" t="s">
        <v>990</v>
      </c>
      <c r="D8" s="9" t="s">
        <v>991</v>
      </c>
      <c r="E8" s="10" t="s">
        <v>992</v>
      </c>
      <c r="F8" s="9">
        <v>15</v>
      </c>
      <c r="G8" s="9"/>
    </row>
    <row r="9" ht="26" spans="1:7">
      <c r="A9" s="9" t="s">
        <v>111</v>
      </c>
      <c r="B9" s="9" t="s">
        <v>993</v>
      </c>
      <c r="C9" s="9" t="s">
        <v>994</v>
      </c>
      <c r="D9" s="9" t="s">
        <v>995</v>
      </c>
      <c r="E9" s="10" t="s">
        <v>996</v>
      </c>
      <c r="F9" s="9">
        <v>15</v>
      </c>
      <c r="G9" s="9"/>
    </row>
    <row r="10" ht="26" spans="1:7">
      <c r="A10" s="9" t="s">
        <v>111</v>
      </c>
      <c r="B10" s="9" t="s">
        <v>997</v>
      </c>
      <c r="C10" s="9" t="s">
        <v>997</v>
      </c>
      <c r="D10" s="9" t="s">
        <v>998</v>
      </c>
      <c r="E10" s="10" t="s">
        <v>999</v>
      </c>
      <c r="F10" s="9">
        <v>10</v>
      </c>
      <c r="G10" s="9"/>
    </row>
    <row r="11" ht="29" spans="1:7">
      <c r="A11" s="7" t="s">
        <v>111</v>
      </c>
      <c r="B11" s="11" t="s">
        <v>1000</v>
      </c>
      <c r="C11" s="8"/>
      <c r="D11" s="8"/>
      <c r="E11" s="8"/>
      <c r="F11" s="12">
        <f>SUM(F4:F10)</f>
        <v>100</v>
      </c>
      <c r="G11" s="8"/>
    </row>
    <row r="12" spans="1:7">
      <c r="A12" s="13" t="s">
        <v>111</v>
      </c>
      <c r="B12" s="10" t="s">
        <v>1001</v>
      </c>
      <c r="C12" s="8"/>
      <c r="D12" s="8"/>
      <c r="E12" s="8"/>
      <c r="F12" s="8"/>
      <c r="G12" s="8"/>
    </row>
    <row r="13" ht="26" spans="1:7">
      <c r="A13" s="9" t="s">
        <v>1002</v>
      </c>
      <c r="B13" s="9" t="s">
        <v>1003</v>
      </c>
      <c r="C13" s="9" t="s">
        <v>975</v>
      </c>
      <c r="D13" s="9" t="s">
        <v>975</v>
      </c>
      <c r="E13" s="10" t="s">
        <v>1004</v>
      </c>
      <c r="F13" s="9">
        <v>25</v>
      </c>
      <c r="G13" s="9"/>
    </row>
    <row r="14" ht="26" spans="1:7">
      <c r="A14" s="9" t="s">
        <v>1002</v>
      </c>
      <c r="B14" s="9" t="s">
        <v>1005</v>
      </c>
      <c r="C14" s="9" t="s">
        <v>979</v>
      </c>
      <c r="D14" s="9" t="s">
        <v>979</v>
      </c>
      <c r="E14" s="10" t="s">
        <v>1006</v>
      </c>
      <c r="F14" s="9">
        <v>25</v>
      </c>
      <c r="G14" s="9"/>
    </row>
    <row r="15" ht="26" spans="1:7">
      <c r="A15" s="9" t="s">
        <v>1002</v>
      </c>
      <c r="B15" s="9" t="s">
        <v>1007</v>
      </c>
      <c r="C15" s="9" t="s">
        <v>983</v>
      </c>
      <c r="D15" s="9" t="s">
        <v>983</v>
      </c>
      <c r="E15" s="10" t="s">
        <v>1008</v>
      </c>
      <c r="F15" s="9">
        <v>25</v>
      </c>
      <c r="G15" s="9"/>
    </row>
    <row r="16" ht="26" spans="1:7">
      <c r="A16" s="9" t="s">
        <v>1002</v>
      </c>
      <c r="B16" s="9" t="s">
        <v>1009</v>
      </c>
      <c r="C16" s="9" t="s">
        <v>987</v>
      </c>
      <c r="D16" s="9" t="s">
        <v>987</v>
      </c>
      <c r="E16" s="10" t="s">
        <v>1010</v>
      </c>
      <c r="F16" s="9">
        <v>15</v>
      </c>
      <c r="G16" s="9"/>
    </row>
    <row r="17" ht="26" spans="1:7">
      <c r="A17" s="9" t="s">
        <v>1002</v>
      </c>
      <c r="B17" s="9" t="s">
        <v>997</v>
      </c>
      <c r="C17" s="9" t="s">
        <v>998</v>
      </c>
      <c r="D17" s="9" t="s">
        <v>998</v>
      </c>
      <c r="E17" s="10" t="s">
        <v>999</v>
      </c>
      <c r="F17" s="9">
        <v>10</v>
      </c>
      <c r="G17" s="9"/>
    </row>
    <row r="18" ht="29" spans="1:7">
      <c r="A18" s="7" t="s">
        <v>1002</v>
      </c>
      <c r="B18" s="11" t="s">
        <v>1000</v>
      </c>
      <c r="C18" s="8"/>
      <c r="D18" s="8"/>
      <c r="E18" s="8"/>
      <c r="F18" s="12">
        <f>SUM(F13:F17)</f>
        <v>100</v>
      </c>
      <c r="G18" s="8"/>
    </row>
    <row r="19" spans="1:7">
      <c r="A19" s="13" t="s">
        <v>1002</v>
      </c>
      <c r="B19" s="10" t="s">
        <v>1001</v>
      </c>
      <c r="C19" s="8"/>
      <c r="D19" s="8"/>
      <c r="E19" s="8"/>
      <c r="F19" s="8"/>
      <c r="G19" s="8"/>
    </row>
    <row r="20" ht="26" spans="1:7">
      <c r="A20" s="9" t="s">
        <v>1011</v>
      </c>
      <c r="B20" s="9">
        <v>1</v>
      </c>
      <c r="C20" s="9" t="s">
        <v>1012</v>
      </c>
      <c r="D20" s="9" t="s">
        <v>975</v>
      </c>
      <c r="E20" s="10" t="s">
        <v>1013</v>
      </c>
      <c r="F20" s="14">
        <v>15</v>
      </c>
      <c r="G20" s="9"/>
    </row>
    <row r="21" ht="26" spans="1:7">
      <c r="A21" s="9" t="s">
        <v>1011</v>
      </c>
      <c r="B21" s="9">
        <v>2</v>
      </c>
      <c r="C21" s="9" t="s">
        <v>1014</v>
      </c>
      <c r="D21" s="9" t="s">
        <v>979</v>
      </c>
      <c r="E21" s="10" t="s">
        <v>1015</v>
      </c>
      <c r="F21" s="14">
        <v>25</v>
      </c>
      <c r="G21" s="9"/>
    </row>
    <row r="22" ht="26" spans="1:7">
      <c r="A22" s="9" t="s">
        <v>1011</v>
      </c>
      <c r="B22" s="9">
        <v>3</v>
      </c>
      <c r="C22" s="9" t="s">
        <v>1016</v>
      </c>
      <c r="D22" s="9" t="s">
        <v>983</v>
      </c>
      <c r="E22" s="10" t="s">
        <v>1017</v>
      </c>
      <c r="F22" s="14">
        <v>15</v>
      </c>
      <c r="G22" s="9"/>
    </row>
    <row r="23" ht="26" spans="1:7">
      <c r="A23" s="9" t="s">
        <v>1011</v>
      </c>
      <c r="B23" s="9">
        <v>4</v>
      </c>
      <c r="C23" s="9" t="s">
        <v>1018</v>
      </c>
      <c r="D23" s="9" t="s">
        <v>987</v>
      </c>
      <c r="E23" s="10" t="s">
        <v>1019</v>
      </c>
      <c r="F23" s="14">
        <v>15</v>
      </c>
      <c r="G23" s="9"/>
    </row>
    <row r="24" ht="26" spans="1:7">
      <c r="A24" s="9" t="s">
        <v>1011</v>
      </c>
      <c r="B24" s="9">
        <v>5</v>
      </c>
      <c r="C24" s="9" t="s">
        <v>1020</v>
      </c>
      <c r="D24" s="9" t="s">
        <v>991</v>
      </c>
      <c r="E24" s="10" t="s">
        <v>1021</v>
      </c>
      <c r="F24" s="14">
        <v>20</v>
      </c>
      <c r="G24" s="9"/>
    </row>
    <row r="25" ht="26" spans="1:7">
      <c r="A25" s="9" t="s">
        <v>1011</v>
      </c>
      <c r="B25" s="9">
        <v>6</v>
      </c>
      <c r="C25" s="9" t="s">
        <v>997</v>
      </c>
      <c r="D25" s="9" t="s">
        <v>998</v>
      </c>
      <c r="E25" s="10" t="s">
        <v>1022</v>
      </c>
      <c r="F25" s="14">
        <v>10</v>
      </c>
      <c r="G25" s="9"/>
    </row>
    <row r="26" ht="29" spans="1:7">
      <c r="A26" s="7" t="s">
        <v>1011</v>
      </c>
      <c r="B26" s="11" t="s">
        <v>1000</v>
      </c>
      <c r="C26" s="8"/>
      <c r="D26" s="8"/>
      <c r="E26" s="8"/>
      <c r="F26" s="12">
        <f>SUM(F20:F25)</f>
        <v>100</v>
      </c>
      <c r="G26" s="8"/>
    </row>
    <row r="27" spans="1:7">
      <c r="A27" s="13" t="s">
        <v>1011</v>
      </c>
      <c r="B27" s="10" t="s">
        <v>1001</v>
      </c>
      <c r="C27" s="8"/>
      <c r="D27" s="8"/>
      <c r="E27" s="8"/>
      <c r="F27" s="8"/>
      <c r="G27" s="8"/>
    </row>
  </sheetData>
  <mergeCells count="8">
    <mergeCell ref="A1:G1"/>
    <mergeCell ref="A2:G2"/>
    <mergeCell ref="B11:D11"/>
    <mergeCell ref="B12:E12"/>
    <mergeCell ref="B18:D18"/>
    <mergeCell ref="B19:E19"/>
    <mergeCell ref="B26:D26"/>
    <mergeCell ref="B27:E2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workbookViewId="0">
      <selection activeCell="A1" sqref="A1:G1"/>
    </sheetView>
  </sheetViews>
  <sheetFormatPr defaultColWidth="9" defaultRowHeight="14" outlineLevelCol="6"/>
  <cols>
    <col min="1" max="1" width="16" customWidth="1"/>
    <col min="2" max="2" width="14" customWidth="1"/>
    <col min="3" max="3" width="40" customWidth="1"/>
    <col min="4" max="4" width="10" customWidth="1"/>
    <col min="5" max="5" width="46" customWidth="1"/>
    <col min="6" max="6" width="26" customWidth="1"/>
    <col min="7" max="7" width="16" customWidth="1"/>
  </cols>
  <sheetData>
    <row r="1" ht="24" customHeight="1" spans="1:7">
      <c r="A1" s="1" t="s">
        <v>1023</v>
      </c>
    </row>
    <row r="2" ht="14.5" spans="1:7">
      <c r="A2" s="2" t="s">
        <v>1024</v>
      </c>
    </row>
    <row r="3" ht="14.5" spans="1:7">
      <c r="A3" s="3" t="s">
        <v>26</v>
      </c>
      <c r="B3" s="3" t="s">
        <v>1025</v>
      </c>
      <c r="C3" s="3" t="s">
        <v>1026</v>
      </c>
      <c r="D3" s="3" t="s">
        <v>1027</v>
      </c>
      <c r="E3" s="3" t="s">
        <v>1028</v>
      </c>
      <c r="F3" s="3" t="s">
        <v>1029</v>
      </c>
      <c r="G3" s="3" t="s">
        <v>1030</v>
      </c>
    </row>
    <row r="4" ht="26" spans="1:7">
      <c r="A4" s="9" t="s">
        <v>111</v>
      </c>
      <c r="B4" s="9" t="s">
        <v>1031</v>
      </c>
      <c r="C4" s="10" t="s">
        <v>1032</v>
      </c>
      <c r="D4" s="9" t="s">
        <v>1033</v>
      </c>
      <c r="E4" s="10" t="s">
        <v>1034</v>
      </c>
      <c r="F4" s="10" t="s">
        <v>1035</v>
      </c>
      <c r="G4" s="9" t="s">
        <v>1036</v>
      </c>
    </row>
    <row r="5" ht="26" spans="1:7">
      <c r="A5" s="9" t="s">
        <v>111</v>
      </c>
      <c r="B5" s="9" t="s">
        <v>1031</v>
      </c>
      <c r="C5" s="10" t="s">
        <v>1037</v>
      </c>
      <c r="D5" s="9" t="s">
        <v>1033</v>
      </c>
      <c r="E5" s="10" t="s">
        <v>1038</v>
      </c>
      <c r="F5" s="10" t="s">
        <v>1039</v>
      </c>
      <c r="G5" s="9" t="s">
        <v>1040</v>
      </c>
    </row>
    <row r="6" ht="26" spans="1:7">
      <c r="A6" s="9" t="s">
        <v>111</v>
      </c>
      <c r="B6" s="9" t="s">
        <v>1041</v>
      </c>
      <c r="C6" s="10" t="s">
        <v>1042</v>
      </c>
      <c r="D6" s="9" t="s">
        <v>1043</v>
      </c>
      <c r="E6" s="10" t="s">
        <v>1044</v>
      </c>
      <c r="F6" s="10" t="s">
        <v>1045</v>
      </c>
      <c r="G6" s="9" t="s">
        <v>1046</v>
      </c>
    </row>
    <row r="7" ht="26" spans="1:7">
      <c r="A7" s="9" t="s">
        <v>111</v>
      </c>
      <c r="B7" s="9" t="s">
        <v>1041</v>
      </c>
      <c r="C7" s="10" t="s">
        <v>1047</v>
      </c>
      <c r="D7" s="9" t="s">
        <v>1043</v>
      </c>
      <c r="E7" s="10" t="s">
        <v>1048</v>
      </c>
      <c r="F7" s="10" t="s">
        <v>1049</v>
      </c>
      <c r="G7" s="9" t="s">
        <v>1050</v>
      </c>
    </row>
    <row r="8" ht="26" spans="1:7">
      <c r="A8" s="9" t="s">
        <v>111</v>
      </c>
      <c r="B8" s="9" t="s">
        <v>1051</v>
      </c>
      <c r="C8" s="10" t="s">
        <v>1052</v>
      </c>
      <c r="D8" s="9" t="s">
        <v>1043</v>
      </c>
      <c r="E8" s="10" t="s">
        <v>1053</v>
      </c>
      <c r="F8" s="10" t="s">
        <v>1054</v>
      </c>
      <c r="G8" s="9" t="s">
        <v>1050</v>
      </c>
    </row>
    <row r="9" ht="26" spans="1:7">
      <c r="A9" s="9" t="s">
        <v>111</v>
      </c>
      <c r="B9" s="9" t="s">
        <v>1051</v>
      </c>
      <c r="C9" s="10" t="s">
        <v>1055</v>
      </c>
      <c r="D9" s="9" t="s">
        <v>1043</v>
      </c>
      <c r="E9" s="10" t="s">
        <v>1056</v>
      </c>
      <c r="F9" s="10" t="s">
        <v>1057</v>
      </c>
      <c r="G9" s="9" t="s">
        <v>1050</v>
      </c>
    </row>
    <row r="10" ht="26" spans="1:7">
      <c r="A10" s="9" t="s">
        <v>111</v>
      </c>
      <c r="B10" s="9" t="s">
        <v>828</v>
      </c>
      <c r="C10" s="10" t="s">
        <v>1058</v>
      </c>
      <c r="D10" s="9" t="s">
        <v>1043</v>
      </c>
      <c r="E10" s="10" t="s">
        <v>1059</v>
      </c>
      <c r="F10" s="10" t="s">
        <v>1060</v>
      </c>
      <c r="G10" s="9" t="s">
        <v>1050</v>
      </c>
    </row>
    <row r="11" ht="26" spans="1:7">
      <c r="A11" s="9" t="s">
        <v>111</v>
      </c>
      <c r="B11" s="9" t="s">
        <v>1061</v>
      </c>
      <c r="C11" s="10" t="s">
        <v>1062</v>
      </c>
      <c r="D11" s="9" t="s">
        <v>1063</v>
      </c>
      <c r="E11" s="10" t="s">
        <v>1064</v>
      </c>
      <c r="F11" s="10" t="s">
        <v>1065</v>
      </c>
      <c r="G11" s="9" t="s">
        <v>1040</v>
      </c>
    </row>
    <row r="12" ht="26" spans="1:7">
      <c r="A12" s="9" t="s">
        <v>480</v>
      </c>
      <c r="B12" s="9" t="s">
        <v>1031</v>
      </c>
      <c r="C12" s="10" t="s">
        <v>1066</v>
      </c>
      <c r="D12" s="9" t="s">
        <v>1033</v>
      </c>
      <c r="E12" s="10" t="s">
        <v>1067</v>
      </c>
      <c r="F12" s="10" t="s">
        <v>1035</v>
      </c>
      <c r="G12" s="9" t="s">
        <v>1036</v>
      </c>
    </row>
    <row r="13" ht="26" spans="1:7">
      <c r="A13" s="9" t="s">
        <v>480</v>
      </c>
      <c r="B13" s="9" t="s">
        <v>1031</v>
      </c>
      <c r="C13" s="10" t="s">
        <v>1037</v>
      </c>
      <c r="D13" s="9" t="s">
        <v>1033</v>
      </c>
      <c r="E13" s="10" t="s">
        <v>1038</v>
      </c>
      <c r="F13" s="10" t="s">
        <v>1039</v>
      </c>
      <c r="G13" s="9" t="s">
        <v>1040</v>
      </c>
    </row>
    <row r="14" ht="26" spans="1:7">
      <c r="A14" s="9" t="s">
        <v>480</v>
      </c>
      <c r="B14" s="9" t="s">
        <v>1041</v>
      </c>
      <c r="C14" s="10" t="s">
        <v>1068</v>
      </c>
      <c r="D14" s="9" t="s">
        <v>1043</v>
      </c>
      <c r="E14" s="10" t="s">
        <v>1069</v>
      </c>
      <c r="F14" s="10" t="s">
        <v>1045</v>
      </c>
      <c r="G14" s="9" t="s">
        <v>1046</v>
      </c>
    </row>
    <row r="15" ht="26" spans="1:7">
      <c r="A15" s="9" t="s">
        <v>480</v>
      </c>
      <c r="B15" s="9" t="s">
        <v>1051</v>
      </c>
      <c r="C15" s="10" t="s">
        <v>1070</v>
      </c>
      <c r="D15" s="9" t="s">
        <v>1043</v>
      </c>
      <c r="E15" s="10" t="s">
        <v>1071</v>
      </c>
      <c r="F15" s="10" t="s">
        <v>1054</v>
      </c>
      <c r="G15" s="9" t="s">
        <v>1050</v>
      </c>
    </row>
    <row r="16" ht="26" spans="1:7">
      <c r="A16" s="9" t="s">
        <v>480</v>
      </c>
      <c r="B16" s="9" t="s">
        <v>1051</v>
      </c>
      <c r="C16" s="10" t="s">
        <v>1072</v>
      </c>
      <c r="D16" s="9" t="s">
        <v>1043</v>
      </c>
      <c r="E16" s="10" t="s">
        <v>1073</v>
      </c>
      <c r="F16" s="10" t="s">
        <v>1057</v>
      </c>
      <c r="G16" s="9" t="s">
        <v>1050</v>
      </c>
    </row>
    <row r="17" ht="26" spans="1:7">
      <c r="A17" s="9" t="s">
        <v>480</v>
      </c>
      <c r="B17" s="9" t="s">
        <v>1074</v>
      </c>
      <c r="C17" s="10" t="s">
        <v>1075</v>
      </c>
      <c r="D17" s="9" t="s">
        <v>1043</v>
      </c>
      <c r="E17" s="10" t="s">
        <v>1076</v>
      </c>
      <c r="F17" s="10" t="s">
        <v>1077</v>
      </c>
      <c r="G17" s="9" t="s">
        <v>1050</v>
      </c>
    </row>
    <row r="18" ht="26" spans="1:7">
      <c r="A18" s="9" t="s">
        <v>480</v>
      </c>
      <c r="B18" s="9" t="s">
        <v>1041</v>
      </c>
      <c r="C18" s="10" t="s">
        <v>1078</v>
      </c>
      <c r="D18" s="9" t="s">
        <v>1043</v>
      </c>
      <c r="E18" s="10" t="s">
        <v>1079</v>
      </c>
      <c r="F18" s="10" t="s">
        <v>1049</v>
      </c>
      <c r="G18" s="9" t="s">
        <v>1050</v>
      </c>
    </row>
    <row r="19" ht="26" spans="1:7">
      <c r="A19" s="9" t="s">
        <v>480</v>
      </c>
      <c r="B19" s="9" t="s">
        <v>1061</v>
      </c>
      <c r="C19" s="10" t="s">
        <v>1062</v>
      </c>
      <c r="D19" s="9" t="s">
        <v>1063</v>
      </c>
      <c r="E19" s="10" t="s">
        <v>1080</v>
      </c>
      <c r="F19" s="10" t="s">
        <v>1065</v>
      </c>
      <c r="G19" s="9" t="s">
        <v>1040</v>
      </c>
    </row>
    <row r="20" ht="26" spans="1:7">
      <c r="A20" s="9" t="s">
        <v>619</v>
      </c>
      <c r="B20" s="9" t="s">
        <v>1081</v>
      </c>
      <c r="C20" s="10" t="s">
        <v>1082</v>
      </c>
      <c r="D20" s="9" t="s">
        <v>1033</v>
      </c>
      <c r="E20" s="10" t="s">
        <v>1083</v>
      </c>
      <c r="F20" s="10" t="s">
        <v>1084</v>
      </c>
      <c r="G20" s="9" t="s">
        <v>1085</v>
      </c>
    </row>
    <row r="21" ht="26" spans="1:7">
      <c r="A21" s="9" t="s">
        <v>619</v>
      </c>
      <c r="B21" s="9" t="s">
        <v>1031</v>
      </c>
      <c r="C21" s="10" t="s">
        <v>1086</v>
      </c>
      <c r="D21" s="9" t="s">
        <v>1033</v>
      </c>
      <c r="E21" s="10" t="s">
        <v>1087</v>
      </c>
      <c r="F21" s="10" t="s">
        <v>1088</v>
      </c>
      <c r="G21" s="9" t="s">
        <v>1036</v>
      </c>
    </row>
    <row r="22" ht="26" spans="1:7">
      <c r="A22" s="9" t="s">
        <v>619</v>
      </c>
      <c r="B22" s="9" t="s">
        <v>1031</v>
      </c>
      <c r="C22" s="10" t="s">
        <v>1089</v>
      </c>
      <c r="D22" s="9" t="s">
        <v>1043</v>
      </c>
      <c r="E22" s="10" t="s">
        <v>1090</v>
      </c>
      <c r="F22" s="10" t="s">
        <v>1091</v>
      </c>
      <c r="G22" s="9" t="s">
        <v>1092</v>
      </c>
    </row>
    <row r="23" ht="26" spans="1:7">
      <c r="A23" s="9" t="s">
        <v>619</v>
      </c>
      <c r="B23" s="9" t="s">
        <v>1031</v>
      </c>
      <c r="C23" s="10" t="s">
        <v>1093</v>
      </c>
      <c r="D23" s="9" t="s">
        <v>1033</v>
      </c>
      <c r="E23" s="10" t="s">
        <v>1094</v>
      </c>
      <c r="F23" s="10" t="s">
        <v>1095</v>
      </c>
      <c r="G23" s="9" t="s">
        <v>1092</v>
      </c>
    </row>
    <row r="24" ht="26" spans="1:7">
      <c r="A24" s="9" t="s">
        <v>619</v>
      </c>
      <c r="B24" s="9" t="s">
        <v>1041</v>
      </c>
      <c r="C24" s="10" t="s">
        <v>1096</v>
      </c>
      <c r="D24" s="9" t="s">
        <v>1043</v>
      </c>
      <c r="E24" s="10" t="s">
        <v>1097</v>
      </c>
      <c r="F24" s="10" t="s">
        <v>1098</v>
      </c>
      <c r="G24" s="9" t="s">
        <v>1046</v>
      </c>
    </row>
    <row r="25" ht="26" spans="1:7">
      <c r="A25" s="9" t="s">
        <v>619</v>
      </c>
      <c r="B25" s="9" t="s">
        <v>1061</v>
      </c>
      <c r="C25" s="10" t="s">
        <v>1099</v>
      </c>
      <c r="D25" s="9" t="s">
        <v>1043</v>
      </c>
      <c r="E25" s="10" t="s">
        <v>1100</v>
      </c>
      <c r="F25" s="10" t="s">
        <v>1101</v>
      </c>
      <c r="G25" s="9" t="s">
        <v>1050</v>
      </c>
    </row>
    <row r="26" ht="26" spans="1:7">
      <c r="A26" s="9" t="s">
        <v>619</v>
      </c>
      <c r="B26" s="9" t="s">
        <v>1041</v>
      </c>
      <c r="C26" s="10" t="s">
        <v>1102</v>
      </c>
      <c r="D26" s="9" t="s">
        <v>1043</v>
      </c>
      <c r="E26" s="10" t="s">
        <v>1103</v>
      </c>
      <c r="F26" s="10" t="s">
        <v>1104</v>
      </c>
      <c r="G26" s="9" t="s">
        <v>1040</v>
      </c>
    </row>
    <row r="27" ht="26" spans="1:7">
      <c r="A27" s="9" t="s">
        <v>619</v>
      </c>
      <c r="B27" s="9" t="s">
        <v>1031</v>
      </c>
      <c r="C27" s="10" t="s">
        <v>1105</v>
      </c>
      <c r="D27" s="9" t="s">
        <v>1063</v>
      </c>
      <c r="E27" s="10" t="s">
        <v>1106</v>
      </c>
      <c r="F27" s="10" t="s">
        <v>1107</v>
      </c>
      <c r="G27" s="9" t="s">
        <v>1040</v>
      </c>
    </row>
    <row r="28" ht="26" spans="1:7">
      <c r="A28" s="9" t="s">
        <v>619</v>
      </c>
      <c r="B28" s="9" t="s">
        <v>1041</v>
      </c>
      <c r="C28" s="10" t="s">
        <v>1108</v>
      </c>
      <c r="D28" s="9" t="s">
        <v>1043</v>
      </c>
      <c r="E28" s="10" t="s">
        <v>1109</v>
      </c>
      <c r="F28" s="10" t="s">
        <v>1045</v>
      </c>
      <c r="G28" s="9" t="s">
        <v>1050</v>
      </c>
    </row>
  </sheetData>
  <mergeCells count="2">
    <mergeCell ref="A1:G1"/>
    <mergeCell ref="A2:G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K15" sqref="K15"/>
    </sheetView>
  </sheetViews>
  <sheetFormatPr defaultColWidth="9" defaultRowHeight="14" outlineLevelCol="7"/>
  <cols>
    <col min="1" max="1" width="16" customWidth="1"/>
    <col min="2" max="2" width="34" customWidth="1"/>
    <col min="3" max="3" width="14" customWidth="1"/>
    <col min="4" max="5" width="12" customWidth="1"/>
    <col min="6" max="6" width="18" customWidth="1"/>
    <col min="7" max="7" width="14" customWidth="1"/>
    <col min="8" max="8" width="40" customWidth="1"/>
  </cols>
  <sheetData>
    <row r="1" ht="24" customHeight="1" spans="1:8">
      <c r="A1" s="1" t="s">
        <v>1110</v>
      </c>
    </row>
    <row r="2" ht="14.5" spans="1:8">
      <c r="A2" s="2" t="s">
        <v>1111</v>
      </c>
    </row>
    <row r="3" ht="14.5" spans="1:8">
      <c r="A3" s="3" t="s">
        <v>26</v>
      </c>
      <c r="B3" s="3" t="s">
        <v>1112</v>
      </c>
      <c r="C3" s="3" t="s">
        <v>1113</v>
      </c>
      <c r="D3" s="3" t="s">
        <v>1114</v>
      </c>
      <c r="E3" s="3" t="s">
        <v>1115</v>
      </c>
      <c r="F3" s="3" t="s">
        <v>1116</v>
      </c>
      <c r="G3" s="3" t="s">
        <v>1117</v>
      </c>
      <c r="H3" s="3" t="s">
        <v>1118</v>
      </c>
    </row>
    <row r="4" ht="29" spans="1:8">
      <c r="A4" s="4" t="s">
        <v>32</v>
      </c>
      <c r="B4" s="5" t="s">
        <v>33</v>
      </c>
      <c r="C4" s="6" t="s">
        <v>1119</v>
      </c>
      <c r="D4" s="4">
        <v>20</v>
      </c>
      <c r="E4" s="4">
        <v>80</v>
      </c>
      <c r="F4" s="4" t="s">
        <v>1120</v>
      </c>
      <c r="G4" s="5" t="s">
        <v>1121</v>
      </c>
      <c r="H4" s="5" t="s">
        <v>1122</v>
      </c>
    </row>
    <row r="5" ht="43.5" spans="1:8">
      <c r="A5" s="4" t="s">
        <v>32</v>
      </c>
      <c r="B5" s="5" t="s">
        <v>38</v>
      </c>
      <c r="C5" s="6" t="s">
        <v>1119</v>
      </c>
      <c r="D5" s="4">
        <v>12</v>
      </c>
      <c r="E5" s="4">
        <v>70</v>
      </c>
      <c r="F5" s="4" t="s">
        <v>1123</v>
      </c>
      <c r="G5" s="5" t="s">
        <v>1124</v>
      </c>
      <c r="H5" s="5" t="s">
        <v>1125</v>
      </c>
    </row>
    <row r="6" ht="29" spans="1:8">
      <c r="A6" s="4" t="s">
        <v>32</v>
      </c>
      <c r="B6" s="5" t="s">
        <v>43</v>
      </c>
      <c r="C6" s="6" t="s">
        <v>1119</v>
      </c>
      <c r="D6" s="4">
        <v>6</v>
      </c>
      <c r="E6" s="4">
        <v>65</v>
      </c>
      <c r="F6" s="4" t="s">
        <v>1126</v>
      </c>
      <c r="G6" s="5" t="s">
        <v>1127</v>
      </c>
      <c r="H6" s="5" t="s">
        <v>1128</v>
      </c>
    </row>
    <row r="7" ht="29" spans="1:8">
      <c r="A7" s="4" t="s">
        <v>32</v>
      </c>
      <c r="B7" s="5" t="s">
        <v>48</v>
      </c>
      <c r="C7" s="6" t="s">
        <v>1119</v>
      </c>
      <c r="D7" s="4">
        <v>7</v>
      </c>
      <c r="E7" s="4">
        <v>70</v>
      </c>
      <c r="F7" s="4" t="s">
        <v>1123</v>
      </c>
      <c r="G7" s="5" t="s">
        <v>1129</v>
      </c>
      <c r="H7" s="5" t="s">
        <v>1130</v>
      </c>
    </row>
    <row r="8" ht="29" spans="1:8">
      <c r="A8" s="4" t="s">
        <v>32</v>
      </c>
      <c r="B8" s="5" t="s">
        <v>53</v>
      </c>
      <c r="C8" s="6" t="s">
        <v>1119</v>
      </c>
      <c r="D8" s="4">
        <v>7</v>
      </c>
      <c r="E8" s="4">
        <v>75</v>
      </c>
      <c r="F8" s="4" t="s">
        <v>1120</v>
      </c>
      <c r="G8" s="5" t="s">
        <v>1131</v>
      </c>
      <c r="H8" s="5" t="s">
        <v>1132</v>
      </c>
    </row>
    <row r="9" ht="29" spans="1:8">
      <c r="A9" s="4" t="s">
        <v>32</v>
      </c>
      <c r="B9" s="5" t="s">
        <v>57</v>
      </c>
      <c r="C9" s="6" t="s">
        <v>1119</v>
      </c>
      <c r="D9" s="4">
        <v>9</v>
      </c>
      <c r="E9" s="4">
        <v>60</v>
      </c>
      <c r="F9" s="4" t="s">
        <v>1133</v>
      </c>
      <c r="G9" s="5" t="s">
        <v>1134</v>
      </c>
      <c r="H9" s="5" t="s">
        <v>60</v>
      </c>
    </row>
    <row r="10" ht="29" spans="1:8">
      <c r="A10" s="4" t="s">
        <v>62</v>
      </c>
      <c r="B10" s="5" t="s">
        <v>63</v>
      </c>
      <c r="C10" s="6" t="s">
        <v>1119</v>
      </c>
      <c r="D10" s="4">
        <v>4</v>
      </c>
      <c r="E10" s="4">
        <v>90</v>
      </c>
      <c r="F10" s="4" t="s">
        <v>1135</v>
      </c>
      <c r="G10" s="5" t="s">
        <v>1136</v>
      </c>
      <c r="H10" s="5" t="s">
        <v>1137</v>
      </c>
    </row>
    <row r="11" ht="29" spans="1:8">
      <c r="A11" s="4" t="s">
        <v>62</v>
      </c>
      <c r="B11" s="5" t="s">
        <v>68</v>
      </c>
      <c r="C11" s="6" t="s">
        <v>1119</v>
      </c>
      <c r="D11" s="4">
        <v>4</v>
      </c>
      <c r="E11" s="4">
        <v>90</v>
      </c>
      <c r="F11" s="4" t="s">
        <v>1135</v>
      </c>
      <c r="G11" s="5" t="s">
        <v>1136</v>
      </c>
      <c r="H11" s="5" t="s">
        <v>1138</v>
      </c>
    </row>
    <row r="12" ht="43.5" spans="1:8">
      <c r="A12" s="4" t="s">
        <v>62</v>
      </c>
      <c r="B12" s="5" t="s">
        <v>72</v>
      </c>
      <c r="C12" s="6" t="s">
        <v>1119</v>
      </c>
      <c r="D12" s="4">
        <v>4</v>
      </c>
      <c r="E12" s="4">
        <v>40</v>
      </c>
      <c r="F12" s="4" t="s">
        <v>1139</v>
      </c>
      <c r="G12" s="5" t="s">
        <v>1140</v>
      </c>
      <c r="H12" s="5" t="s">
        <v>1141</v>
      </c>
    </row>
    <row r="13" ht="29" spans="1:8">
      <c r="A13" s="4" t="s">
        <v>62</v>
      </c>
      <c r="B13" s="5" t="s">
        <v>1142</v>
      </c>
      <c r="C13" s="6" t="s">
        <v>1119</v>
      </c>
      <c r="D13" s="4">
        <v>4</v>
      </c>
      <c r="E13" s="4">
        <v>35</v>
      </c>
      <c r="F13" s="4" t="s">
        <v>1143</v>
      </c>
      <c r="G13" s="5" t="s">
        <v>1144</v>
      </c>
      <c r="H13" s="5" t="s">
        <v>1145</v>
      </c>
    </row>
    <row r="14" ht="29" spans="1:8">
      <c r="A14" s="4" t="s">
        <v>80</v>
      </c>
      <c r="B14" s="5" t="s">
        <v>1146</v>
      </c>
      <c r="C14" s="6" t="s">
        <v>1119</v>
      </c>
      <c r="D14" s="4">
        <v>4</v>
      </c>
      <c r="E14" s="4">
        <v>60</v>
      </c>
      <c r="F14" s="4" t="s">
        <v>1133</v>
      </c>
      <c r="G14" s="5" t="s">
        <v>1147</v>
      </c>
      <c r="H14" s="5" t="s">
        <v>1148</v>
      </c>
    </row>
    <row r="15" ht="29" spans="1:8">
      <c r="A15" s="4" t="s">
        <v>80</v>
      </c>
      <c r="B15" s="5" t="s">
        <v>1149</v>
      </c>
      <c r="C15" s="6" t="s">
        <v>1119</v>
      </c>
      <c r="D15" s="4">
        <v>4</v>
      </c>
      <c r="E15" s="4">
        <v>60</v>
      </c>
      <c r="F15" s="4" t="s">
        <v>1133</v>
      </c>
      <c r="G15" s="5" t="s">
        <v>1150</v>
      </c>
      <c r="H15" s="5" t="s">
        <v>1151</v>
      </c>
    </row>
    <row r="16" ht="29" spans="1:8">
      <c r="A16" s="4" t="s">
        <v>80</v>
      </c>
      <c r="B16" s="5" t="s">
        <v>1152</v>
      </c>
      <c r="C16" s="6" t="s">
        <v>1119</v>
      </c>
      <c r="D16" s="4">
        <v>4</v>
      </c>
      <c r="E16" s="4">
        <v>50</v>
      </c>
      <c r="F16" s="4" t="s">
        <v>1153</v>
      </c>
      <c r="G16" s="5" t="s">
        <v>1154</v>
      </c>
      <c r="H16" s="5" t="s">
        <v>1155</v>
      </c>
    </row>
    <row r="17" ht="29" spans="1:8">
      <c r="A17" s="4" t="s">
        <v>80</v>
      </c>
      <c r="B17" s="5" t="s">
        <v>1156</v>
      </c>
      <c r="C17" s="6" t="s">
        <v>1119</v>
      </c>
      <c r="D17" s="4">
        <v>4</v>
      </c>
      <c r="E17" s="4">
        <v>50</v>
      </c>
      <c r="F17" s="4" t="s">
        <v>1153</v>
      </c>
      <c r="G17" s="5" t="s">
        <v>1157</v>
      </c>
      <c r="H17" s="5" t="s">
        <v>1158</v>
      </c>
    </row>
    <row r="18" ht="29" spans="1:8">
      <c r="A18" s="4" t="s">
        <v>80</v>
      </c>
      <c r="B18" s="5" t="s">
        <v>1159</v>
      </c>
      <c r="C18" s="6" t="s">
        <v>1119</v>
      </c>
      <c r="D18" s="4">
        <v>4</v>
      </c>
      <c r="E18" s="4">
        <v>45</v>
      </c>
      <c r="F18" s="4" t="s">
        <v>1160</v>
      </c>
      <c r="G18" s="5" t="s">
        <v>1161</v>
      </c>
      <c r="H18" s="5" t="s">
        <v>1162</v>
      </c>
    </row>
    <row r="19" ht="14.5" spans="1:8">
      <c r="A19" s="7" t="s">
        <v>1163</v>
      </c>
      <c r="B19" s="8"/>
      <c r="C19" s="8"/>
      <c r="D19" s="8"/>
      <c r="E19" s="7">
        <f>ROUND(AVERAGE(E4:E18),1)</f>
        <v>62.7</v>
      </c>
      <c r="F19" s="7" t="e">
        <f>ROUND(AVERAGE(F4:F18),1)</f>
        <v>#DIV/0!</v>
      </c>
      <c r="G19" s="8"/>
      <c r="H19" s="8"/>
    </row>
  </sheetData>
  <mergeCells count="2">
    <mergeCell ref="A1:H1"/>
    <mergeCell ref="A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整体培训总览</vt:lpstr>
      <vt:lpstr>课程教学计划</vt:lpstr>
      <vt:lpstr>软硬件环境清单</vt:lpstr>
      <vt:lpstr>考核与评分标准</vt:lpstr>
      <vt:lpstr>安全与风险预案</vt:lpstr>
      <vt:lpstr>完整度评估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讯飞聆智</cp:lastModifiedBy>
  <dcterms:created xsi:type="dcterms:W3CDTF">2026-09-22T06:20:00Z</dcterms:created>
  <dcterms:modified xsi:type="dcterms:W3CDTF">2026-10-26T08:38:42Z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920602CA0043454881C8B39A6AA56F96_12</vt:lpwstr>
  </property>
  <property fmtid="{D5CDD505-2E9C-101B-9397-08002B2CF9AE}" pid="3" name="KSOProductBuildVer">
    <vt:lpwstr>2052-12.1.0.28802</vt:lpwstr>
  </property>
  <property fmtid="{D5CDD505-2E9C-101B-9397-08002B2CF9AE}" pid="4" name="CalculationRule">
    <vt:i4>0</vt:i4>
  </property>
</Properties>
</file>