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ource\xflz_eai_car1\course_generate_agent\courses\sheet1\navigation_grasp_training\"/>
    </mc:Choice>
  </mc:AlternateContent>
  <xr:revisionPtr revIDLastSave="0" documentId="13_ncr:1_{673AD712-511D-47D0-941C-F081AAC2F2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培训概览" sheetId="1" r:id="rId1"/>
    <sheet name="课程教学计划" sheetId="2" r:id="rId2"/>
    <sheet name="软硬件环境清单" sheetId="3" r:id="rId3"/>
    <sheet name="考核与评分标准" sheetId="4" r:id="rId4"/>
    <sheet name="安全与风险预案" sheetId="5" r:id="rId5"/>
  </sheets>
  <calcPr calcId="191029"/>
</workbook>
</file>

<file path=xl/calcChain.xml><?xml version="1.0" encoding="utf-8"?>
<calcChain xmlns="http://schemas.openxmlformats.org/spreadsheetml/2006/main">
  <c r="F9" i="4" l="1"/>
  <c r="E9" i="4"/>
</calcChain>
</file>

<file path=xl/sharedStrings.xml><?xml version="1.0" encoding="utf-8"?>
<sst xmlns="http://schemas.openxmlformats.org/spreadsheetml/2006/main" count="531" uniqueCount="359">
  <si>
    <t>具身智能机器人小车综合案例培训</t>
  </si>
  <si>
    <t>一、培训基本信息</t>
  </si>
  <si>
    <t>课程体系</t>
  </si>
  <si>
    <t>具身智能机器人语音、视觉、大模型、传感器融合、ROS2、SLAM导航、机械臂运动控制的综合场景工程化应用能力</t>
  </si>
  <si>
    <t>培训对象</t>
  </si>
  <si>
    <t>内部讲师 / 外部培训</t>
  </si>
  <si>
    <t>培训形式</t>
  </si>
  <si>
    <t>线上线下培训与实操</t>
  </si>
  <si>
    <t>总课时</t>
  </si>
  <si>
    <t>4 门 × 4 课时 = 16 课时</t>
  </si>
  <si>
    <t>硬件平台</t>
  </si>
  <si>
    <t>具身智能小车 C1 + 激光雷达 + 机械臂 + 语音交互 + 大模型交互</t>
  </si>
  <si>
    <t>软件平台</t>
  </si>
  <si>
    <t>ROS2 + Nav2 导航栈 + AMCL 定位 + TF2 + 相机驱动 + 机械臂控制器</t>
  </si>
  <si>
    <t>课程名称</t>
  </si>
  <si>
    <t>课时(理论+实践)</t>
  </si>
  <si>
    <t>核心内容</t>
  </si>
  <si>
    <t>现有源码支撑</t>
  </si>
  <si>
    <t>状态</t>
  </si>
  <si>
    <t>机器人建图与导航</t>
  </si>
  <si>
    <t>4（2+2）</t>
  </si>
  <si>
    <t>地图构建、AMCL 定位、Nav2 路径规划与自主导航执行</t>
  </si>
  <si>
    <t>car1_navigation（navigation.launch.py）</t>
  </si>
  <si>
    <t>可开班</t>
  </si>
  <si>
    <t>机器人视觉与抓取</t>
  </si>
  <si>
    <t>深度相机感知、HSV 目标识别、机械臂视觉抓取与放置</t>
  </si>
  <si>
    <t>visual_grasp + arm_controller + HP60C</t>
  </si>
  <si>
    <t>机器人离线大模型语音交互</t>
  </si>
  <si>
    <t>离线语音唤醒/识别（ASR）、语音合成（TTS）、大模型意图识别与本地化对话交互</t>
  </si>
  <si>
    <t>car1_speech + eai_factory</t>
  </si>
  <si>
    <t>二期待开发</t>
  </si>
  <si>
    <t>机器人语音控制机器人导航抓取综合应用</t>
  </si>
  <si>
    <t>语音指令 → 大模型意图识别 → 建图导航 → 视觉抓取全流程闭环（语音控制完成抓取-搬运任务）</t>
  </si>
  <si>
    <t>navigation_grasp_transport + car1_speech + eai_factory</t>
  </si>
  <si>
    <t>合计：4 门 · 16 课时</t>
  </si>
  <si>
    <t>课程</t>
  </si>
  <si>
    <t>培训目标（学完能做什么）</t>
  </si>
  <si>
    <t>独立完成建图，并让小车从 A 点自主导航到 B 点</t>
  </si>
  <si>
    <t>识别目标物（红色方块），并通过机械臂完成抓取与放置</t>
  </si>
  <si>
    <t>本地化部署离线语音识别/合成与大模型意图识别，实现语音对话交互</t>
  </si>
  <si>
    <t>语音指令 → 意图识别 → 建图导航 → 视觉抓取全流程闭环，语音控制小车完成任务</t>
  </si>
  <si>
    <t>四、预期效果（可量化验收）</t>
  </si>
  <si>
    <t>指标</t>
  </si>
  <si>
    <t>目标值</t>
  </si>
  <si>
    <t>验收方式</t>
  </si>
  <si>
    <t>100% 学员</t>
  </si>
  <si>
    <t>线下实操，完成机器人建图与定点导航</t>
  </si>
  <si>
    <t>独立完成「综合应用」语音控制导航抓取闭环</t>
  </si>
  <si>
    <t>≥ 90% 学员</t>
  </si>
  <si>
    <t>线下实操，完成语音唤醒、识别、TTS合成和大模型意图识别</t>
  </si>
  <si>
    <t>独立完成参数调优与故障定位</t>
  </si>
  <si>
    <t>≥ 80% 学员</t>
  </si>
  <si>
    <t>线下实操，完成离线大模型驱动机器人自主导航，并抓取指定物品</t>
  </si>
  <si>
    <t>五、资源投入与风险摘要</t>
  </si>
  <si>
    <t>资源投入</t>
  </si>
  <si>
    <t>主要风险</t>
  </si>
  <si>
    <t>① 机械臂堵转损坏（高风险，已有强制预检流程）；② 导航超时（300s 预案）；③ 目标物识别失败（阈值/搜索角度可调）</t>
  </si>
  <si>
    <t>保障措施</t>
  </si>
  <si>
    <t>全部风险均有预防措施与应急处理，详见《安全与风险预案》页；实机操作前必须执行 test_servo_direct.py 软检</t>
  </si>
  <si>
    <t>课程教学计划（课程 1-4，每门 4 课时 = 2 理论 + 2 实践）</t>
  </si>
  <si>
    <t>环节</t>
  </si>
  <si>
    <t>时长/序号</t>
  </si>
  <si>
    <t>环节/实操任务</t>
  </si>
  <si>
    <t>内容要点 / 操作步骤与命令</t>
  </si>
  <si>
    <t>对应源码/文件</t>
  </si>
  <si>
    <t>关键命令/参数 或 预期现象</t>
  </si>
  <si>
    <t>验收标准</t>
  </si>
  <si>
    <t>易错点/提示</t>
  </si>
  <si>
    <t>课程1：机器人建图与导航</t>
  </si>
  <si>
    <t>课程1</t>
  </si>
  <si>
    <t>理论</t>
  </si>
  <si>
    <t>—</t>
  </si>
  <si>
    <t>地图与坐标系</t>
  </si>
  <si>
    <t>map/odom/base_link/base_footprint 坐标系、TF2 树、URDF 与 robot_state_publisher</t>
  </si>
  <si>
    <t>bringup 的 robot_state_publisher</t>
  </si>
  <si>
    <t>ros2 run tf2_tools view_frames</t>
  </si>
  <si>
    <t>AMCL 定位</t>
  </si>
  <si>
    <t>粒子滤波定位原理、初始位姿设置、定位收敛判据</t>
  </si>
  <si>
    <t>car1_navigation/params/amcl.yaml</t>
  </si>
  <si>
    <t>RViz 2D Pose Estimate</t>
  </si>
  <si>
    <t>Nav2 路径规划</t>
  </si>
  <si>
    <t>全局/局部代价地图、全局/局部规划器、行为树导航流程</t>
  </si>
  <si>
    <t>car1_navigation/launch/navigation.launch.py</t>
  </si>
  <si>
    <t>ros2 launch car1_navigation navigation.launch.py map:=slam_map</t>
  </si>
  <si>
    <t>实践</t>
  </si>
  <si>
    <t>环境自检与建图</t>
  </si>
  <si>
    <t>确认雷达话题；运行 slam.launch.py 建图；手动遥控遍历环境</t>
  </si>
  <si>
    <t>RViz 逐步生成栅格地图，闭合回路</t>
  </si>
  <si>
    <t>生成可用 slam_map 地图</t>
  </si>
  <si>
    <t>遥控缓慢行驶，避免雷达视角丢失</t>
  </si>
  <si>
    <t>保存并检查地图</t>
  </si>
  <si>
    <t>建图后保存 slam_map.yaml；RViz 检查地图质量</t>
  </si>
  <si>
    <t>地图文件生成，无大面积空洞</t>
  </si>
  <si>
    <t>地图命名 slam_map 且可加载</t>
  </si>
  <si>
    <t>回环后保存质量更好</t>
  </si>
  <si>
    <t>启动导航设初始位姿</t>
  </si>
  <si>
    <t>运行 navigation.launch.py map:=slam_map；用 2D Pose Estimate 设初始位姿</t>
  </si>
  <si>
    <t>AMCL 收敛，粒子集中在真实位姿</t>
  </si>
  <si>
    <t>初始位姿与实物一致</t>
  </si>
  <si>
    <t>触发任务前必设初始位姿</t>
  </si>
  <si>
    <t>目标点导航验收</t>
  </si>
  <si>
    <t>用 2D Goal Pose 发布目标点，观察自主导航</t>
  </si>
  <si>
    <t>小车按规划路径自主到达</t>
  </si>
  <si>
    <t>到达目标，无卡死/超时</t>
  </si>
  <si>
    <t>配合综合应用为进阶</t>
  </si>
  <si>
    <t>课程2：机器人视觉与抓取</t>
  </si>
  <si>
    <t>课程2</t>
  </si>
  <si>
    <t>HSV 目标识别</t>
  </si>
  <si>
    <t>颜色空间（HSV vs RGB）、红色双区间阈值、掩膜提取与像素统计</t>
  </si>
  <si>
    <t>visual_grasp 颜色检测</t>
  </si>
  <si>
    <t>HSV [0,100,80]~[15,255,255] + [160,100,80]~[180,255,255]</t>
  </si>
  <si>
    <t>平面投影</t>
  </si>
  <si>
    <t>相机近盲区规避：RGB 像素射线与桌面平面求交得 3D 坐标（不读深度图）</t>
  </si>
  <si>
    <t>navigation_grasp_transport 的 plane-project</t>
  </si>
  <si>
    <t>object_height / table_height</t>
  </si>
  <si>
    <t>机械臂视觉抓取</t>
  </si>
  <si>
    <t>set_pick_target/pick/place/go_home 服务模型、夹爪抓-放控制</t>
  </si>
  <si>
    <t>car1_arm_controller</t>
  </si>
  <si>
    <t>夹爪朝下 180° 四元数 x:0 y:1 z:0 w:0</t>
  </si>
  <si>
    <t>机械臂防堵转软检</t>
  </si>
  <si>
    <t>在 test 目录执行 python3 test_servo_direct.py 验证 PWM</t>
  </si>
  <si>
    <t>PWM 输出正常，无堵转异常</t>
  </si>
  <si>
    <t>软检全部通过</t>
  </si>
  <si>
    <t>强制项，防止堵转损坏设备</t>
  </si>
  <si>
    <t>深度相机与图像观察</t>
  </si>
  <si>
    <t>运行 depth_camera.launch.py，查看 RGB/深度话题</t>
  </si>
  <si>
    <t>RGB 与深度图正常发布</t>
  </si>
  <si>
    <t>图像清晰、无空值</t>
  </si>
  <si>
    <t>确认 /ascamera_hp60c/** 话题</t>
  </si>
  <si>
    <t>HSV 检测调优</t>
  </si>
  <si>
    <t>调整 HSV 上下阈值，使红色目标物掩膜稳定达标</t>
  </si>
  <si>
    <t>掩膜清晰，无背景误检</t>
  </si>
  <si>
    <t>像素量达识别阈值</t>
  </si>
  <si>
    <t>光线变化需重新标定</t>
  </si>
  <si>
    <t>视觉抓取与放置验收</t>
  </si>
  <si>
    <t>调用 /visual_grasp/start 触发视觉抓取，校验抓放结果</t>
  </si>
  <si>
    <t>识别并抓取红色方块，放置到位</t>
  </si>
  <si>
    <t>一次抓取-放置成功</t>
  </si>
  <si>
    <t>抓取前再确认软检与安全区</t>
  </si>
  <si>
    <t>课程3：机器人离线大模型语音交互</t>
  </si>
  <si>
    <t>课程3</t>
  </si>
  <si>
    <t>语音唤醒与识别</t>
  </si>
  <si>
    <t>唤醒词检测（Porcupine/Snowboy）、ASR 引擎、话题 /interaction/wake_word/detected、/interaction/asr/text</t>
  </si>
  <si>
    <t>car1_speech/wake_word_node.py、asr_node.py</t>
  </si>
  <si>
    <t>ros2 launch car1_speech speech.launch.py</t>
  </si>
  <si>
    <t>离线大模型对话与意图</t>
  </si>
  <si>
    <t>大模型理解意图并生成技能标记 [SKILL:name|param:val]，支持本地 Ollama；chat_node 对话管理</t>
  </si>
  <si>
    <t>car1_llm/chat_node.py、config/llm.yaml</t>
  </si>
  <si>
    <t>ros2 launch car1_llm llm.launch.py</t>
  </si>
  <si>
    <t>技能执行</t>
  </si>
  <si>
    <t>skill_executor 解析技能标记，调用 ROS 服务/动作（navigate_to/grasp_object/transport）</t>
  </si>
  <si>
    <t>car1_llm/skill_executor.py、skills.yaml</t>
  </si>
  <si>
    <t>skills.yaml 技能映射</t>
  </si>
  <si>
    <t>唤醒词测试</t>
  </si>
  <si>
    <t>运行 speech.launch.py，朗读唤醒词，观察唤醒事件</t>
  </si>
  <si>
    <t>唤醒话题触发，状态切换</t>
  </si>
  <si>
    <t>唤醒成功响应</t>
  </si>
  <si>
    <t>唤醒词配置在 wake_word.yaml</t>
  </si>
  <si>
    <t>ASR 识别测试</t>
  </si>
  <si>
    <t>唤醒后说出命令语句，观察识别文本</t>
  </si>
  <si>
    <t>识别文本准确输出</t>
  </si>
  <si>
    <t>识别内容与所说一致</t>
  </si>
  <si>
    <t>真实 ASR 在 wake_word_node 内</t>
  </si>
  <si>
    <t>TTS 合成测试</t>
  </si>
  <si>
    <t>向 /interaction/tts/speak 发布文本，听喇叭合成语音</t>
  </si>
  <si>
    <t>喇叭播放合成语音</t>
  </si>
  <si>
    <t>播放清晰可辨</t>
  </si>
  <si>
    <t>音量适中，避免啸叫</t>
  </si>
  <si>
    <t>大模型意图+技能执行验收</t>
  </si>
  <si>
    <t>运行 full_interaction.launch.py，说"导航到厨房"，观察 chat_node 回复与 skill_executor 调用</t>
  </si>
  <si>
    <t>大模型识别意图并触发技能标记</t>
  </si>
  <si>
    <t>技能被正确执行</t>
  </si>
  <si>
    <t>需配置 LLM API / 本地模型</t>
  </si>
  <si>
    <t>课程4：机器人语音控制机器人导航抓取综合应用</t>
  </si>
  <si>
    <t>课程4</t>
  </si>
  <si>
    <t>任务状态机</t>
  </si>
  <si>
    <t>9 状态：IDLE→SET_INITIAL_POSE→WAIT_LOCALIZATION→NAV_TO_PICK→ROTATE_SEARCH→DETECT_AND_GRASP→WAIT_GRASP→NAV_TO_PLACE→PLACE_OBJECT→DONE→IDLE</t>
  </si>
  <si>
    <t>car1_app/navigation_grasp_transport.py</t>
  </si>
  <si>
    <t>观察状态日志</t>
  </si>
  <si>
    <t>关键技术</t>
  </si>
  <si>
    <t>闭环旋转搜索（读偏航角做 P 控制）、平面投影避盲区、检测重复取末次防臂未停稳、超时管理</t>
  </si>
  <si>
    <t>yaml search_*/detection_*/nav_timeout</t>
  </si>
  <si>
    <t>search_angles_deg ±15/30/45°</t>
  </si>
  <si>
    <t>语音与大模型接入</t>
  </si>
  <si>
    <t>语音指令→大模型意图识别→触发导航抓取任务</t>
  </si>
  <si>
    <t>car1_speech + car1_llm + eai_factory</t>
  </si>
  <si>
    <t>意图触发 transport 任务</t>
  </si>
  <si>
    <t>综合安全预检</t>
  </si>
  <si>
    <t>执行机械臂软检 + 场地清障 + 放置红色目标物</t>
  </si>
  <si>
    <t>安全就绪</t>
  </si>
  <si>
    <t>全项通过</t>
  </si>
  <si>
    <t>强制项</t>
  </si>
  <si>
    <t>一键启动与触发</t>
  </si>
  <si>
    <t>终端1：ros2 launch car1_app navigation_grasp_transport.launch.py
终端2：ros2 service call /navigation_grasp_transport/start std_srvs/srv/Trigger "{}"</t>
  </si>
  <si>
    <t>状态机按序推进，执行导航/搜索/抓取/搬运/归位</t>
  </si>
  <si>
    <t>完整跑通一次</t>
  </si>
  <si>
    <t>主节点 t+15s 后触发</t>
  </si>
  <si>
    <t>参数调优</t>
  </si>
  <si>
    <t>调整 search_angles_deg / HSV 阈值 / detection_repeat_count，重跑观察成功率</t>
  </si>
  <si>
    <t>参数生效，成功率可量化</t>
  </si>
  <si>
    <t>至少 1 项调优并记录</t>
  </si>
  <si>
    <t>改参数需重启节点</t>
  </si>
  <si>
    <t>语音驱动综合验收</t>
  </si>
  <si>
    <t>用语音指令触发完整抓取-搬运闭环（大模型意图→导航→抓取）</t>
  </si>
  <si>
    <t>语音指令驱动整条任务链</t>
  </si>
  <si>
    <t>语音控制完成闭环</t>
  </si>
  <si>
    <t>结合课程3语音链路</t>
  </si>
  <si>
    <t>软硬件环境清单</t>
  </si>
  <si>
    <t>覆盖 4 门课；数量为一场培训基准，实操分组轮换</t>
  </si>
  <si>
    <t>类别</t>
  </si>
  <si>
    <t>名称</t>
  </si>
  <si>
    <t>型号/规格</t>
  </si>
  <si>
    <t>适用课程</t>
  </si>
  <si>
    <t>在任务中的角色</t>
  </si>
  <si>
    <t>数量</t>
  </si>
  <si>
    <t>硬件</t>
  </si>
  <si>
    <t>具身智能机器人小车 C1</t>
  </si>
  <si>
    <t>含底盘 + 控制板</t>
  </si>
  <si>
    <t>全部 4 门</t>
  </si>
  <si>
    <t>运动载体，执行 /cmd_vel</t>
  </si>
  <si>
    <t>1 台</t>
  </si>
  <si>
    <t>激光雷达</t>
  </si>
  <si>
    <t>2D 激光雷达</t>
  </si>
  <si>
    <t>课程1/4</t>
  </si>
  <si>
    <t>建图与 AMCL 定位输入</t>
  </si>
  <si>
    <t>深度相机</t>
  </si>
  <si>
    <t>HP60C RGB-D</t>
  </si>
  <si>
    <t>课程2/4</t>
  </si>
  <si>
    <t>目标识别（存在 0.5m 近盲区，用平面投影规避）</t>
  </si>
  <si>
    <t>机械臂</t>
  </si>
  <si>
    <t>多自由度机械臂（舵机）</t>
  </si>
  <si>
    <t>抓取与放置执行</t>
  </si>
  <si>
    <t>1 套</t>
  </si>
  <si>
    <t>麦克风阵列 + 喇叭</t>
  </si>
  <si>
    <t>语音输入/输出</t>
  </si>
  <si>
    <t>课程3/4</t>
  </si>
  <si>
    <t>语音唤醒/识别采集，TTS 播放</t>
  </si>
  <si>
    <t>上位机/工作站</t>
  </si>
  <si>
    <t>≥16GB + Linux</t>
  </si>
  <si>
    <t>运行 ROS2 与节点</t>
  </si>
  <si>
    <t>1-2 台</t>
  </si>
  <si>
    <t>电源与充电器</t>
  </si>
  <si>
    <t>配套</t>
  </si>
  <si>
    <t>设备供电</t>
  </si>
  <si>
    <t>软件</t>
  </si>
  <si>
    <t>操作系统 + ROS2</t>
  </si>
  <si>
    <t>Ubuntu + ROS2（Humble）</t>
  </si>
  <si>
    <t>运行环境</t>
  </si>
  <si>
    <t>建图栈</t>
  </si>
  <si>
    <t>car1_slam（slam_toolbox）</t>
  </si>
  <si>
    <t>栅格地图构建,保存 slam_map</t>
  </si>
  <si>
    <t>内置</t>
  </si>
  <si>
    <t>导航栈</t>
  </si>
  <si>
    <t>car1_navigation（Nav2 + AMCL）</t>
  </si>
  <si>
    <t>路径规划与定位</t>
  </si>
  <si>
    <t>坐标变换</t>
  </si>
  <si>
    <t>TF2</t>
  </si>
  <si>
    <t>map/base_link/相机坐标系同步</t>
  </si>
  <si>
    <t>视觉抓取</t>
  </si>
  <si>
    <t>visual_grasp</t>
  </si>
  <si>
    <t>HSV 识别 + 视觉抓取触发</t>
  </si>
  <si>
    <t>机械臂控制</t>
  </si>
  <si>
    <t>set_pick_target/pick/place/go_home 服务</t>
  </si>
  <si>
    <t>语音交互</t>
  </si>
  <si>
    <t>car1_speech</t>
  </si>
  <si>
    <t>KWS/ASR/TTS 节点</t>
  </si>
  <si>
    <t>大模型交互</t>
  </si>
  <si>
    <t>car1_llm</t>
  </si>
  <si>
    <t>对话管理 + 技能执行</t>
  </si>
  <si>
    <t>综合应用</t>
  </si>
  <si>
    <t>car1_app（navigation_grasp_transport）</t>
  </si>
  <si>
    <t>全流程状态机</t>
  </si>
  <si>
    <t>可视化</t>
  </si>
  <si>
    <t>RViz</t>
  </si>
  <si>
    <t>地图/轨迹/图像观察</t>
  </si>
  <si>
    <t>耗材/场地</t>
  </si>
  <si>
    <t>红色立方体（目标物）</t>
  </si>
  <si>
    <t>满足 HSV 红色双区间</t>
  </si>
  <si>
    <t>抓取目标</t>
  </si>
  <si>
    <t>1-3 个</t>
  </si>
  <si>
    <t>测试场地和挡板</t>
  </si>
  <si>
    <t>≥4㎡平整但反光地面</t>
  </si>
  <si>
    <t>导航/旋转搜索/语音测试</t>
  </si>
  <si>
    <t>1 处</t>
  </si>
  <si>
    <t>考核与评分标准（满分 100）</t>
  </si>
  <si>
    <t>覆盖 4 门课；评分人：讲师（可 2 人交叉评分取均分）</t>
  </si>
  <si>
    <t>序号</t>
  </si>
  <si>
    <t>考核维度</t>
  </si>
  <si>
    <t>考核方式</t>
  </si>
  <si>
    <t>评分细则</t>
  </si>
  <si>
    <t>分值</t>
  </si>
  <si>
    <t>得分</t>
  </si>
  <si>
    <t>1. 机器人建图与导航</t>
  </si>
  <si>
    <t>实操（课程1）</t>
  </si>
  <si>
    <t>独立完成建图、设初始位姿、目标点导航到位</t>
  </si>
  <si>
    <t>2. 机器人视觉与抓取</t>
  </si>
  <si>
    <t>实操（课程2）</t>
  </si>
  <si>
    <t>软检放堵转、视觉识别目标物、抓取-放置一次成功</t>
  </si>
  <si>
    <t>3. 机器人离线大模型语音交互</t>
  </si>
  <si>
    <t>实操（课程3）</t>
  </si>
  <si>
    <t>完成唤醒、识别、TTS 合成与大模型意图识别并触发技能</t>
  </si>
  <si>
    <t>4. 综合应用闭环</t>
  </si>
  <si>
    <t>实操（课程4）</t>
  </si>
  <si>
    <t>语音指令驱动建图导航+视觉抓取完整闭环，一次通过</t>
  </si>
  <si>
    <t>培训表现</t>
  </si>
  <si>
    <t>讲师观察</t>
  </si>
  <si>
    <t>参与度、操作规范（安全交底执行）、日志记录完整</t>
  </si>
  <si>
    <t>合计</t>
  </si>
  <si>
    <t>满分 100</t>
  </si>
  <si>
    <t>≥ 90 优秀 / 75-89 良好 / 60-74 合格 / &lt; 60 需复训</t>
  </si>
  <si>
    <t>说明：得分列由评分人填写；多人交叉评分取算术平均；综合应用课程未开设时其 15 分折算入前 3 门。</t>
  </si>
  <si>
    <t>安全与风险预案</t>
  </si>
  <si>
    <t>等级：高/中/低；所有实机操作前必须先完成安全交底；先软检、后实机</t>
  </si>
  <si>
    <t>风险类别</t>
  </si>
  <si>
    <t>风险描述</t>
  </si>
  <si>
    <t>等级</t>
  </si>
  <si>
    <t>预防措施</t>
  </si>
  <si>
    <t>应急处理</t>
  </si>
  <si>
    <t>责任角色</t>
  </si>
  <si>
    <t>设备安全</t>
  </si>
  <si>
    <t>机械臂堵转 / 舵机过载损坏（课程2/4）</t>
  </si>
  <si>
    <t>高</t>
  </si>
  <si>
    <t>实机前执行 test_servo_direct.py 验证 PWM（先软检、后实机）</t>
  </si>
  <si>
    <t>立即断电停机，检查舵机，上报讲师</t>
  </si>
  <si>
    <t>讲师/学员</t>
  </si>
  <si>
    <t>机械臂动作区域有人进入</t>
  </si>
  <si>
    <t>划定安全区、人机分离；实操全程讲师在场</t>
  </si>
  <si>
    <t>急停（断臂供电），暂停任务</t>
  </si>
  <si>
    <t>讲师</t>
  </si>
  <si>
    <t>运行故障</t>
  </si>
  <si>
    <t>导航超时（nav_timeout_sec=300s，课程1/4）</t>
  </si>
  <si>
    <t>中</t>
  </si>
  <si>
    <t>使用已标定地图；清障；AMCL 收敛后再出发</t>
  </si>
  <si>
    <t>人工检查地图/障碍，重启任务</t>
  </si>
  <si>
    <t>学员+讲师</t>
  </si>
  <si>
    <t>感知故障</t>
  </si>
  <si>
    <t>目标物识别失败（课程2/4）</t>
  </si>
  <si>
    <t>检查光照与 HSV 阈值匹配；目标物在可视距离（&gt;0.5m）；必要时加大搜索角度</t>
  </si>
  <si>
    <t>调整阈值/搜索角度重试</t>
  </si>
  <si>
    <t>学员</t>
  </si>
  <si>
    <t>目标物位于相机 0.5m 近盲区</t>
  </si>
  <si>
    <t>目标物置于可视距离；observe_settle_sec=5s 等臂停稳</t>
  </si>
  <si>
    <t>调整目标物位置，重新检测</t>
  </si>
  <si>
    <t>感知/软件</t>
  </si>
  <si>
    <t>启动顺序错误导致节点无响应</t>
  </si>
  <si>
    <t>严格按 launch 顺序；等待错峰就绪（机械臂 8s/相机 10s/主节点 15s）</t>
  </si>
  <si>
    <t>按文档核对顺序，重启 launch</t>
  </si>
  <si>
    <t>语音唤醒/ASR 识别低（课程3/4）</t>
  </si>
  <si>
    <t>配置唤醒词；环境降噪；校准麦克风增益</t>
  </si>
  <si>
    <t>降噪或调整配置后重试</t>
  </si>
  <si>
    <t>数据风险</t>
  </si>
  <si>
    <t>地图 / 参数 / 模型文件被误改</t>
  </si>
  <si>
    <t>低</t>
  </si>
  <si>
    <t>操作前备份 slam_map、navigation_grasp_transport.yaml、skills.yaml</t>
  </si>
  <si>
    <t>恢复备份后重启节点</t>
  </si>
  <si>
    <t>二、课程体系</t>
    <phoneticPr fontId="11" type="noConversion"/>
  </si>
  <si>
    <t>三、课程定位与培训目标</t>
    <phoneticPr fontId="11" type="noConversion"/>
  </si>
  <si>
    <t>设备：小车 C1 一套（含激光雷达、深度相机、机械臂、语音与麦克风阵列）；测试场地与挡板；离线大模型与语音模型环境；讲师 1 名（熟悉 car1_app/navigation_grasp_transport 源码）；学员需自备终端用于命令行实操；红/目标物若干</t>
    <phoneticPr fontId="11" type="noConversion"/>
  </si>
  <si>
    <t>完成「机器人建图与导航」「机器人视觉与抓取」实操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</si>
</sst>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6"/>
      <color rgb="FF1F4E79"/>
      <name val="微软雅黑"/>
      <family val="2"/>
      <charset val="134"/>
    </font>
    <font>
      <sz val="10"/>
      <color rgb="FF6B7280"/>
      <name val="微软雅黑"/>
      <family val="2"/>
      <charset val="134"/>
    </font>
    <font>
      <b/>
      <sz val="12"/>
      <color rgb="FF1F4E79"/>
      <name val="微软雅黑"/>
      <family val="2"/>
      <charset val="134"/>
    </font>
    <font>
      <b/>
      <sz val="11"/>
      <color rgb="FF1F2937"/>
      <name val="微软雅黑"/>
      <family val="2"/>
      <charset val="134"/>
    </font>
    <font>
      <sz val="11"/>
      <color rgb="FF1F2937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5"/>
      <color rgb="FF1F4E79"/>
      <name val="微软雅黑"/>
      <family val="2"/>
      <charset val="134"/>
    </font>
    <font>
      <sz val="10"/>
      <color rgb="FF1F2937"/>
      <name val="微软雅黑"/>
      <family val="2"/>
      <charset val="134"/>
    </font>
    <font>
      <b/>
      <sz val="10"/>
      <color rgb="FF1F2937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1F4E79"/>
      </patternFill>
    </fill>
    <fill>
      <patternFill patternType="solid">
        <fgColor rgb="FFEAF2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BDD7EE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  <border>
      <left style="thin">
        <color rgb="FFB9C2D0"/>
      </left>
      <right style="thin">
        <color rgb="FFB9C2D0"/>
      </right>
      <top style="thin">
        <color rgb="FFB9C2D0"/>
      </top>
      <bottom style="thin">
        <color rgb="FFB9C2D0"/>
      </bottom>
      <diagonal/>
    </border>
    <border>
      <left/>
      <right/>
      <top/>
      <bottom/>
      <diagonal/>
    </border>
    <border>
      <left/>
      <right/>
      <top style="thin">
        <color rgb="FFB9C2D0"/>
      </top>
      <bottom style="thin">
        <color rgb="FFB9C2D0"/>
      </bottom>
      <diagonal/>
    </border>
    <border>
      <left/>
      <right style="thin">
        <color rgb="FFB9C2D0"/>
      </right>
      <top style="thin">
        <color rgb="FFB9C2D0"/>
      </top>
      <bottom style="thin">
        <color rgb="FFB9C2D0"/>
      </bottom>
      <diagonal/>
    </border>
    <border>
      <left style="thin">
        <color rgb="FFB9C2D0"/>
      </left>
      <right/>
      <top style="thin">
        <color rgb="FFB9C2D0"/>
      </top>
      <bottom style="thin">
        <color rgb="FFB9C2D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6" fillId="5" borderId="5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5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3" fillId="9" borderId="6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7" fillId="0" borderId="0" xfId="0" applyFont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7" xfId="0" applyBorder="1" applyAlignment="1"/>
    <xf numFmtId="0" fontId="0" fillId="0" borderId="8" xfId="0" applyBorder="1" applyAlignment="1"/>
    <xf numFmtId="0" fontId="5" fillId="0" borderId="9" xfId="0" applyFont="1" applyBorder="1" applyAlignment="1">
      <alignment horizontal="left" vertical="center" wrapText="1"/>
    </xf>
    <xf numFmtId="0" fontId="0" fillId="0" borderId="7" xfId="0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2" topLeftCell="A18" activePane="bottomLeft" state="frozen"/>
      <selection pane="bottomLeft" activeCell="A24" sqref="A24"/>
    </sheetView>
  </sheetViews>
  <sheetFormatPr defaultRowHeight="14" x14ac:dyDescent="0.25"/>
  <cols>
    <col min="1" max="1" width="52.6328125" bestFit="1" customWidth="1"/>
    <col min="2" max="4" width="40" customWidth="1"/>
    <col min="5" max="6" width="34" customWidth="1"/>
  </cols>
  <sheetData>
    <row r="1" spans="1:6" ht="30" customHeight="1" x14ac:dyDescent="0.25">
      <c r="A1" s="30" t="s">
        <v>0</v>
      </c>
      <c r="B1" s="31"/>
      <c r="C1" s="31"/>
      <c r="D1" s="31"/>
      <c r="E1" s="31"/>
      <c r="F1" s="31"/>
    </row>
    <row r="2" spans="1:6" ht="16.5" x14ac:dyDescent="0.25">
      <c r="A2" s="17" t="s">
        <v>1</v>
      </c>
    </row>
    <row r="3" spans="1:6" ht="40" customHeight="1" x14ac:dyDescent="0.25">
      <c r="A3" s="18" t="s">
        <v>2</v>
      </c>
      <c r="B3" s="50" t="s">
        <v>3</v>
      </c>
      <c r="C3" s="51"/>
      <c r="D3" s="51"/>
      <c r="E3" s="48"/>
      <c r="F3" s="49"/>
    </row>
    <row r="4" spans="1:6" ht="34" customHeight="1" x14ac:dyDescent="0.25">
      <c r="A4" s="18" t="s">
        <v>4</v>
      </c>
      <c r="B4" s="50" t="s">
        <v>5</v>
      </c>
      <c r="C4" s="51"/>
      <c r="D4" s="51"/>
      <c r="E4" s="48"/>
      <c r="F4" s="49"/>
    </row>
    <row r="5" spans="1:6" ht="34" customHeight="1" x14ac:dyDescent="0.25">
      <c r="A5" s="18" t="s">
        <v>6</v>
      </c>
      <c r="B5" s="50" t="s">
        <v>7</v>
      </c>
      <c r="C5" s="51"/>
      <c r="D5" s="51"/>
      <c r="E5" s="48"/>
      <c r="F5" s="49"/>
    </row>
    <row r="6" spans="1:6" ht="34" customHeight="1" x14ac:dyDescent="0.25">
      <c r="A6" s="18" t="s">
        <v>8</v>
      </c>
      <c r="B6" s="50" t="s">
        <v>9</v>
      </c>
      <c r="C6" s="51"/>
      <c r="D6" s="51"/>
      <c r="E6" s="48"/>
      <c r="F6" s="49"/>
    </row>
    <row r="7" spans="1:6" ht="34" customHeight="1" x14ac:dyDescent="0.25">
      <c r="A7" s="18" t="s">
        <v>10</v>
      </c>
      <c r="B7" s="50" t="s">
        <v>11</v>
      </c>
      <c r="C7" s="51"/>
      <c r="D7" s="51"/>
      <c r="E7" s="48"/>
      <c r="F7" s="49"/>
    </row>
    <row r="8" spans="1:6" ht="34" customHeight="1" x14ac:dyDescent="0.25">
      <c r="A8" s="18" t="s">
        <v>12</v>
      </c>
      <c r="B8" s="50" t="s">
        <v>13</v>
      </c>
      <c r="C8" s="51"/>
      <c r="D8" s="51"/>
      <c r="E8" s="48"/>
      <c r="F8" s="49"/>
    </row>
    <row r="9" spans="1:6" ht="34" customHeight="1" x14ac:dyDescent="0.25">
      <c r="A9" s="17" t="s">
        <v>355</v>
      </c>
      <c r="B9" s="31"/>
      <c r="C9" s="31"/>
      <c r="D9" s="31"/>
      <c r="E9" s="31"/>
      <c r="F9" s="31"/>
    </row>
    <row r="10" spans="1:6" ht="24" customHeight="1" x14ac:dyDescent="0.45">
      <c r="A10" s="20" t="s">
        <v>14</v>
      </c>
      <c r="B10" s="20" t="s">
        <v>15</v>
      </c>
      <c r="C10" s="20" t="s">
        <v>16</v>
      </c>
      <c r="D10" s="20" t="s">
        <v>17</v>
      </c>
      <c r="E10" s="20" t="s">
        <v>18</v>
      </c>
      <c r="F10" s="29"/>
    </row>
    <row r="11" spans="1:6" ht="33" x14ac:dyDescent="0.25">
      <c r="A11" s="21" t="s">
        <v>19</v>
      </c>
      <c r="B11" s="22" t="s">
        <v>20</v>
      </c>
      <c r="C11" s="21" t="s">
        <v>21</v>
      </c>
      <c r="D11" s="21" t="s">
        <v>22</v>
      </c>
      <c r="E11" s="21" t="s">
        <v>23</v>
      </c>
      <c r="F11" s="23"/>
    </row>
    <row r="12" spans="1:6" ht="40" customHeight="1" x14ac:dyDescent="0.25">
      <c r="A12" s="24" t="s">
        <v>24</v>
      </c>
      <c r="B12" s="25" t="s">
        <v>20</v>
      </c>
      <c r="C12" s="24" t="s">
        <v>25</v>
      </c>
      <c r="D12" s="24" t="s">
        <v>26</v>
      </c>
      <c r="E12" s="24" t="s">
        <v>23</v>
      </c>
      <c r="F12" s="23"/>
    </row>
    <row r="13" spans="1:6" ht="49.5" x14ac:dyDescent="0.25">
      <c r="A13" s="21" t="s">
        <v>27</v>
      </c>
      <c r="B13" s="22" t="s">
        <v>20</v>
      </c>
      <c r="C13" s="21" t="s">
        <v>28</v>
      </c>
      <c r="D13" s="21" t="s">
        <v>29</v>
      </c>
      <c r="E13" s="21" t="s">
        <v>30</v>
      </c>
      <c r="F13" s="23"/>
    </row>
    <row r="14" spans="1:6" ht="49.5" x14ac:dyDescent="0.25">
      <c r="A14" s="24" t="s">
        <v>31</v>
      </c>
      <c r="B14" s="25" t="s">
        <v>20</v>
      </c>
      <c r="C14" s="24" t="s">
        <v>32</v>
      </c>
      <c r="D14" s="24" t="s">
        <v>33</v>
      </c>
      <c r="E14" s="24" t="s">
        <v>30</v>
      </c>
      <c r="F14" s="23"/>
    </row>
    <row r="15" spans="1:6" ht="40" customHeight="1" x14ac:dyDescent="0.25">
      <c r="A15" s="26" t="s">
        <v>34</v>
      </c>
      <c r="B15" s="27"/>
      <c r="C15" s="27"/>
      <c r="D15" s="27"/>
      <c r="E15" s="28"/>
      <c r="F15" s="19"/>
    </row>
    <row r="16" spans="1:6" ht="22" customHeight="1" x14ac:dyDescent="0.25">
      <c r="A16" s="35" t="s">
        <v>356</v>
      </c>
      <c r="B16" s="31"/>
      <c r="C16" s="31"/>
      <c r="D16" s="31"/>
      <c r="E16" s="31"/>
    </row>
    <row r="17" spans="1:6" ht="24" customHeight="1" x14ac:dyDescent="0.25">
      <c r="A17" s="20" t="s">
        <v>35</v>
      </c>
      <c r="B17" s="38" t="s">
        <v>36</v>
      </c>
      <c r="C17" s="33"/>
      <c r="D17" s="34"/>
      <c r="E17" s="23"/>
      <c r="F17" s="23"/>
    </row>
    <row r="18" spans="1:6" ht="22" customHeight="1" x14ac:dyDescent="0.25">
      <c r="A18" s="21" t="s">
        <v>19</v>
      </c>
      <c r="B18" s="36" t="s">
        <v>37</v>
      </c>
      <c r="C18" s="33"/>
      <c r="D18" s="34"/>
      <c r="E18" s="23"/>
      <c r="F18" s="23"/>
    </row>
    <row r="19" spans="1:6" ht="28" customHeight="1" x14ac:dyDescent="0.25">
      <c r="A19" s="24" t="s">
        <v>24</v>
      </c>
      <c r="B19" s="37" t="s">
        <v>38</v>
      </c>
      <c r="C19" s="33"/>
      <c r="D19" s="34"/>
      <c r="E19" s="23"/>
      <c r="F19" s="23"/>
    </row>
    <row r="20" spans="1:6" ht="28" customHeight="1" x14ac:dyDescent="0.25">
      <c r="A20" s="21" t="s">
        <v>27</v>
      </c>
      <c r="B20" s="36" t="s">
        <v>39</v>
      </c>
      <c r="C20" s="33"/>
      <c r="D20" s="34"/>
      <c r="E20" s="23"/>
      <c r="F20" s="23"/>
    </row>
    <row r="21" spans="1:6" ht="28" customHeight="1" x14ac:dyDescent="0.25">
      <c r="A21" s="24" t="s">
        <v>31</v>
      </c>
      <c r="B21" s="37" t="s">
        <v>40</v>
      </c>
      <c r="C21" s="33"/>
      <c r="D21" s="34"/>
      <c r="E21" s="23"/>
      <c r="F21" s="23"/>
    </row>
    <row r="22" spans="1:6" ht="28" customHeight="1" x14ac:dyDescent="0.25">
      <c r="A22" s="17" t="s">
        <v>41</v>
      </c>
      <c r="B22" s="31"/>
      <c r="C22" s="31"/>
      <c r="D22" s="31"/>
    </row>
    <row r="23" spans="1:6" ht="24" customHeight="1" x14ac:dyDescent="0.25">
      <c r="A23" s="20" t="s">
        <v>42</v>
      </c>
      <c r="B23" s="20" t="s">
        <v>43</v>
      </c>
      <c r="C23" s="38" t="s">
        <v>44</v>
      </c>
      <c r="D23" s="33"/>
      <c r="E23" s="33"/>
      <c r="F23" s="34"/>
    </row>
    <row r="24" spans="1:6" ht="24" customHeight="1" x14ac:dyDescent="0.25">
      <c r="A24" s="21" t="s">
        <v>358</v>
      </c>
      <c r="B24" s="21" t="s">
        <v>45</v>
      </c>
      <c r="C24" s="36" t="s">
        <v>46</v>
      </c>
      <c r="D24" s="33"/>
      <c r="E24" s="33"/>
      <c r="F24" s="34"/>
    </row>
    <row r="25" spans="1:6" ht="34" customHeight="1" x14ac:dyDescent="0.25">
      <c r="A25" s="24" t="s">
        <v>47</v>
      </c>
      <c r="B25" s="24" t="s">
        <v>48</v>
      </c>
      <c r="C25" s="37" t="s">
        <v>49</v>
      </c>
      <c r="D25" s="33"/>
      <c r="E25" s="33"/>
      <c r="F25" s="34"/>
    </row>
    <row r="26" spans="1:6" ht="34" customHeight="1" x14ac:dyDescent="0.25">
      <c r="A26" s="21" t="s">
        <v>50</v>
      </c>
      <c r="B26" s="21" t="s">
        <v>51</v>
      </c>
      <c r="C26" s="36" t="s">
        <v>52</v>
      </c>
      <c r="D26" s="33"/>
      <c r="E26" s="33"/>
      <c r="F26" s="34"/>
    </row>
    <row r="27" spans="1:6" ht="34" customHeight="1" x14ac:dyDescent="0.25">
      <c r="A27" s="17" t="s">
        <v>53</v>
      </c>
      <c r="C27" s="31"/>
      <c r="D27" s="31"/>
      <c r="E27" s="31"/>
      <c r="F27" s="31"/>
    </row>
    <row r="28" spans="1:6" ht="40" customHeight="1" x14ac:dyDescent="0.25">
      <c r="A28" s="18" t="s">
        <v>54</v>
      </c>
      <c r="B28" s="32" t="s">
        <v>357</v>
      </c>
      <c r="C28" s="39"/>
      <c r="D28" s="39"/>
      <c r="E28" s="39"/>
      <c r="F28" s="39"/>
    </row>
    <row r="29" spans="1:6" ht="40" customHeight="1" x14ac:dyDescent="0.25">
      <c r="A29" s="18" t="s">
        <v>55</v>
      </c>
      <c r="B29" s="37" t="s">
        <v>56</v>
      </c>
      <c r="C29" s="33"/>
      <c r="D29" s="33"/>
      <c r="E29" s="33"/>
      <c r="F29" s="34"/>
    </row>
    <row r="30" spans="1:6" ht="40" customHeight="1" x14ac:dyDescent="0.25">
      <c r="A30" s="18" t="s">
        <v>57</v>
      </c>
      <c r="B30" s="36" t="s">
        <v>58</v>
      </c>
      <c r="C30" s="33"/>
      <c r="D30" s="33"/>
      <c r="E30" s="33"/>
      <c r="F30" s="34"/>
    </row>
    <row r="31" spans="1:6" ht="40" customHeight="1" x14ac:dyDescent="0.25">
      <c r="B31" s="31"/>
      <c r="C31" s="31"/>
      <c r="D31" s="31"/>
      <c r="E31" s="31"/>
      <c r="F31" s="31"/>
    </row>
  </sheetData>
  <mergeCells count="24">
    <mergeCell ref="C26:F26"/>
    <mergeCell ref="C27:F27"/>
    <mergeCell ref="B29:F29"/>
    <mergeCell ref="B30:F30"/>
    <mergeCell ref="B31:F31"/>
    <mergeCell ref="B28:F28"/>
    <mergeCell ref="B20:D20"/>
    <mergeCell ref="B21:D21"/>
    <mergeCell ref="B22:D22"/>
    <mergeCell ref="C24:F24"/>
    <mergeCell ref="C25:F25"/>
    <mergeCell ref="C23:F23"/>
    <mergeCell ref="B9:F9"/>
    <mergeCell ref="A16:E16"/>
    <mergeCell ref="B18:D18"/>
    <mergeCell ref="B19:D19"/>
    <mergeCell ref="B17:D17"/>
    <mergeCell ref="B8:D8"/>
    <mergeCell ref="A1:F1"/>
    <mergeCell ref="B3:D3"/>
    <mergeCell ref="B4:D4"/>
    <mergeCell ref="B5:D5"/>
    <mergeCell ref="B6:D6"/>
    <mergeCell ref="B7:D7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>
      <pane ySplit="2" topLeftCell="A3" activePane="bottomLeft" state="frozen"/>
      <selection pane="bottomLeft"/>
    </sheetView>
  </sheetViews>
  <sheetFormatPr defaultRowHeight="14" x14ac:dyDescent="0.25"/>
  <cols>
    <col min="1" max="1" width="14" customWidth="1"/>
    <col min="2" max="3" width="9" customWidth="1"/>
    <col min="4" max="4" width="26" customWidth="1"/>
    <col min="5" max="5" width="40" customWidth="1"/>
    <col min="6" max="6" width="30" customWidth="1"/>
    <col min="7" max="7" width="32" customWidth="1"/>
    <col min="8" max="9" width="22" customWidth="1"/>
  </cols>
  <sheetData>
    <row r="1" spans="1:9" ht="30" customHeight="1" x14ac:dyDescent="0.25">
      <c r="A1" s="40" t="s">
        <v>59</v>
      </c>
      <c r="B1" s="31"/>
      <c r="C1" s="31"/>
      <c r="D1" s="31"/>
      <c r="E1" s="31"/>
      <c r="F1" s="31"/>
      <c r="G1" s="31"/>
      <c r="H1" s="31"/>
      <c r="I1" s="31"/>
    </row>
    <row r="2" spans="1:9" ht="20" customHeight="1" x14ac:dyDescent="0.25">
      <c r="A2" s="3" t="s">
        <v>35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</row>
    <row r="3" spans="1:9" ht="30" customHeight="1" x14ac:dyDescent="0.25">
      <c r="A3" s="1" t="s">
        <v>68</v>
      </c>
      <c r="B3" s="5"/>
      <c r="C3" s="5"/>
      <c r="D3" s="5"/>
      <c r="E3" s="5"/>
      <c r="F3" s="5"/>
      <c r="G3" s="5"/>
      <c r="H3" s="5"/>
      <c r="I3" s="6"/>
    </row>
    <row r="4" spans="1:9" ht="20" customHeight="1" x14ac:dyDescent="0.25">
      <c r="A4" s="41" t="s">
        <v>69</v>
      </c>
      <c r="B4" s="42"/>
      <c r="C4" s="42"/>
      <c r="D4" s="42"/>
      <c r="E4" s="42"/>
      <c r="F4" s="42"/>
      <c r="G4" s="42"/>
      <c r="H4" s="42"/>
      <c r="I4" s="43"/>
    </row>
    <row r="5" spans="1:9" ht="29" x14ac:dyDescent="0.25">
      <c r="A5" s="9" t="s">
        <v>69</v>
      </c>
      <c r="B5" s="10" t="s">
        <v>70</v>
      </c>
      <c r="C5" s="9" t="s">
        <v>71</v>
      </c>
      <c r="D5" s="11" t="s">
        <v>72</v>
      </c>
      <c r="E5" s="12" t="s">
        <v>73</v>
      </c>
      <c r="F5" s="12" t="s">
        <v>74</v>
      </c>
      <c r="G5" s="12" t="s">
        <v>75</v>
      </c>
      <c r="H5" s="12" t="s">
        <v>71</v>
      </c>
      <c r="I5" s="12" t="s">
        <v>71</v>
      </c>
    </row>
    <row r="6" spans="1:9" ht="29" x14ac:dyDescent="0.25">
      <c r="A6" s="9" t="s">
        <v>69</v>
      </c>
      <c r="B6" s="10" t="s">
        <v>70</v>
      </c>
      <c r="C6" s="9" t="s">
        <v>71</v>
      </c>
      <c r="D6" s="11" t="s">
        <v>76</v>
      </c>
      <c r="E6" s="12" t="s">
        <v>77</v>
      </c>
      <c r="F6" s="12" t="s">
        <v>78</v>
      </c>
      <c r="G6" s="12" t="s">
        <v>79</v>
      </c>
      <c r="H6" s="12" t="s">
        <v>71</v>
      </c>
      <c r="I6" s="12" t="s">
        <v>71</v>
      </c>
    </row>
    <row r="7" spans="1:9" ht="43.5" x14ac:dyDescent="0.25">
      <c r="A7" s="9" t="s">
        <v>69</v>
      </c>
      <c r="B7" s="10" t="s">
        <v>70</v>
      </c>
      <c r="C7" s="9" t="s">
        <v>71</v>
      </c>
      <c r="D7" s="11" t="s">
        <v>80</v>
      </c>
      <c r="E7" s="12" t="s">
        <v>81</v>
      </c>
      <c r="F7" s="12" t="s">
        <v>82</v>
      </c>
      <c r="G7" s="12" t="s">
        <v>83</v>
      </c>
      <c r="H7" s="12" t="s">
        <v>71</v>
      </c>
      <c r="I7" s="12" t="s">
        <v>71</v>
      </c>
    </row>
    <row r="8" spans="1:9" ht="29" x14ac:dyDescent="0.25">
      <c r="A8" s="13" t="s">
        <v>69</v>
      </c>
      <c r="B8" s="14" t="s">
        <v>84</v>
      </c>
      <c r="C8" s="13">
        <v>1</v>
      </c>
      <c r="D8" s="15" t="s">
        <v>85</v>
      </c>
      <c r="E8" s="16" t="s">
        <v>86</v>
      </c>
      <c r="F8" s="13" t="s">
        <v>71</v>
      </c>
      <c r="G8" s="16" t="s">
        <v>87</v>
      </c>
      <c r="H8" s="16" t="s">
        <v>88</v>
      </c>
      <c r="I8" s="16" t="s">
        <v>89</v>
      </c>
    </row>
    <row r="9" spans="1:9" ht="29" x14ac:dyDescent="0.25">
      <c r="A9" s="13" t="s">
        <v>69</v>
      </c>
      <c r="B9" s="14" t="s">
        <v>84</v>
      </c>
      <c r="C9" s="13">
        <v>2</v>
      </c>
      <c r="D9" s="15" t="s">
        <v>90</v>
      </c>
      <c r="E9" s="16" t="s">
        <v>91</v>
      </c>
      <c r="F9" s="13" t="s">
        <v>71</v>
      </c>
      <c r="G9" s="16" t="s">
        <v>92</v>
      </c>
      <c r="H9" s="16" t="s">
        <v>93</v>
      </c>
      <c r="I9" s="16" t="s">
        <v>94</v>
      </c>
    </row>
    <row r="10" spans="1:9" ht="29" x14ac:dyDescent="0.25">
      <c r="A10" s="13" t="s">
        <v>69</v>
      </c>
      <c r="B10" s="14" t="s">
        <v>84</v>
      </c>
      <c r="C10" s="13">
        <v>3</v>
      </c>
      <c r="D10" s="15" t="s">
        <v>95</v>
      </c>
      <c r="E10" s="16" t="s">
        <v>96</v>
      </c>
      <c r="F10" s="13" t="s">
        <v>71</v>
      </c>
      <c r="G10" s="16" t="s">
        <v>97</v>
      </c>
      <c r="H10" s="16" t="s">
        <v>98</v>
      </c>
      <c r="I10" s="16" t="s">
        <v>99</v>
      </c>
    </row>
    <row r="11" spans="1:9" ht="14.5" x14ac:dyDescent="0.25">
      <c r="A11" s="13" t="s">
        <v>69</v>
      </c>
      <c r="B11" s="14" t="s">
        <v>84</v>
      </c>
      <c r="C11" s="13">
        <v>4</v>
      </c>
      <c r="D11" s="15" t="s">
        <v>100</v>
      </c>
      <c r="E11" s="16" t="s">
        <v>101</v>
      </c>
      <c r="F11" s="13" t="s">
        <v>71</v>
      </c>
      <c r="G11" s="16" t="s">
        <v>102</v>
      </c>
      <c r="H11" s="16" t="s">
        <v>103</v>
      </c>
      <c r="I11" s="16" t="s">
        <v>104</v>
      </c>
    </row>
    <row r="12" spans="1:9" ht="33" x14ac:dyDescent="0.25">
      <c r="A12" s="1" t="s">
        <v>105</v>
      </c>
      <c r="B12" s="5"/>
      <c r="C12" s="5"/>
      <c r="D12" s="5"/>
      <c r="E12" s="5"/>
      <c r="F12" s="5"/>
      <c r="G12" s="5"/>
      <c r="H12" s="5"/>
      <c r="I12" s="6"/>
    </row>
    <row r="13" spans="1:9" ht="20" customHeight="1" x14ac:dyDescent="0.25">
      <c r="A13" s="41" t="s">
        <v>106</v>
      </c>
      <c r="B13" s="42"/>
      <c r="C13" s="42"/>
      <c r="D13" s="42"/>
      <c r="E13" s="42"/>
      <c r="F13" s="42"/>
      <c r="G13" s="42"/>
      <c r="H13" s="42"/>
      <c r="I13" s="43"/>
    </row>
    <row r="14" spans="1:9" ht="29" x14ac:dyDescent="0.25">
      <c r="A14" s="9" t="s">
        <v>106</v>
      </c>
      <c r="B14" s="10" t="s">
        <v>70</v>
      </c>
      <c r="C14" s="9" t="s">
        <v>71</v>
      </c>
      <c r="D14" s="11" t="s">
        <v>107</v>
      </c>
      <c r="E14" s="12" t="s">
        <v>108</v>
      </c>
      <c r="F14" s="12" t="s">
        <v>109</v>
      </c>
      <c r="G14" s="12" t="s">
        <v>110</v>
      </c>
      <c r="H14" s="12" t="s">
        <v>71</v>
      </c>
      <c r="I14" s="12" t="s">
        <v>71</v>
      </c>
    </row>
    <row r="15" spans="1:9" ht="29" x14ac:dyDescent="0.25">
      <c r="A15" s="9" t="s">
        <v>106</v>
      </c>
      <c r="B15" s="10" t="s">
        <v>70</v>
      </c>
      <c r="C15" s="9" t="s">
        <v>71</v>
      </c>
      <c r="D15" s="11" t="s">
        <v>111</v>
      </c>
      <c r="E15" s="12" t="s">
        <v>112</v>
      </c>
      <c r="F15" s="12" t="s">
        <v>113</v>
      </c>
      <c r="G15" s="12" t="s">
        <v>114</v>
      </c>
      <c r="H15" s="12" t="s">
        <v>71</v>
      </c>
      <c r="I15" s="12" t="s">
        <v>71</v>
      </c>
    </row>
    <row r="16" spans="1:9" ht="29" x14ac:dyDescent="0.25">
      <c r="A16" s="9" t="s">
        <v>106</v>
      </c>
      <c r="B16" s="10" t="s">
        <v>70</v>
      </c>
      <c r="C16" s="9" t="s">
        <v>71</v>
      </c>
      <c r="D16" s="11" t="s">
        <v>115</v>
      </c>
      <c r="E16" s="12" t="s">
        <v>116</v>
      </c>
      <c r="F16" s="12" t="s">
        <v>117</v>
      </c>
      <c r="G16" s="12" t="s">
        <v>118</v>
      </c>
      <c r="H16" s="12" t="s">
        <v>71</v>
      </c>
      <c r="I16" s="12" t="s">
        <v>71</v>
      </c>
    </row>
    <row r="17" spans="1:9" ht="29" x14ac:dyDescent="0.25">
      <c r="A17" s="13" t="s">
        <v>106</v>
      </c>
      <c r="B17" s="14" t="s">
        <v>84</v>
      </c>
      <c r="C17" s="13">
        <v>1</v>
      </c>
      <c r="D17" s="15" t="s">
        <v>119</v>
      </c>
      <c r="E17" s="16" t="s">
        <v>120</v>
      </c>
      <c r="F17" s="13" t="s">
        <v>71</v>
      </c>
      <c r="G17" s="16" t="s">
        <v>121</v>
      </c>
      <c r="H17" s="16" t="s">
        <v>122</v>
      </c>
      <c r="I17" s="16" t="s">
        <v>123</v>
      </c>
    </row>
    <row r="18" spans="1:9" ht="43.5" x14ac:dyDescent="0.25">
      <c r="A18" s="13" t="s">
        <v>106</v>
      </c>
      <c r="B18" s="14" t="s">
        <v>84</v>
      </c>
      <c r="C18" s="13">
        <v>2</v>
      </c>
      <c r="D18" s="15" t="s">
        <v>124</v>
      </c>
      <c r="E18" s="16" t="s">
        <v>125</v>
      </c>
      <c r="F18" s="13" t="s">
        <v>71</v>
      </c>
      <c r="G18" s="16" t="s">
        <v>126</v>
      </c>
      <c r="H18" s="16" t="s">
        <v>127</v>
      </c>
      <c r="I18" s="16" t="s">
        <v>128</v>
      </c>
    </row>
    <row r="19" spans="1:9" ht="14.5" x14ac:dyDescent="0.25">
      <c r="A19" s="13" t="s">
        <v>106</v>
      </c>
      <c r="B19" s="14" t="s">
        <v>84</v>
      </c>
      <c r="C19" s="13">
        <v>3</v>
      </c>
      <c r="D19" s="15" t="s">
        <v>129</v>
      </c>
      <c r="E19" s="16" t="s">
        <v>130</v>
      </c>
      <c r="F19" s="13" t="s">
        <v>71</v>
      </c>
      <c r="G19" s="16" t="s">
        <v>131</v>
      </c>
      <c r="H19" s="16" t="s">
        <v>132</v>
      </c>
      <c r="I19" s="16" t="s">
        <v>133</v>
      </c>
    </row>
    <row r="20" spans="1:9" ht="29" x14ac:dyDescent="0.25">
      <c r="A20" s="13" t="s">
        <v>106</v>
      </c>
      <c r="B20" s="14" t="s">
        <v>84</v>
      </c>
      <c r="C20" s="13">
        <v>4</v>
      </c>
      <c r="D20" s="15" t="s">
        <v>134</v>
      </c>
      <c r="E20" s="16" t="s">
        <v>135</v>
      </c>
      <c r="F20" s="13" t="s">
        <v>71</v>
      </c>
      <c r="G20" s="16" t="s">
        <v>136</v>
      </c>
      <c r="H20" s="16" t="s">
        <v>137</v>
      </c>
      <c r="I20" s="16" t="s">
        <v>138</v>
      </c>
    </row>
    <row r="21" spans="1:9" ht="49.5" x14ac:dyDescent="0.25">
      <c r="A21" s="1" t="s">
        <v>139</v>
      </c>
      <c r="B21" s="5"/>
      <c r="C21" s="5"/>
      <c r="D21" s="5"/>
      <c r="E21" s="5"/>
      <c r="F21" s="5"/>
      <c r="G21" s="5"/>
      <c r="H21" s="5"/>
      <c r="I21" s="6"/>
    </row>
    <row r="22" spans="1:9" ht="20" customHeight="1" x14ac:dyDescent="0.25">
      <c r="A22" s="41" t="s">
        <v>140</v>
      </c>
      <c r="B22" s="42"/>
      <c r="C22" s="42"/>
      <c r="D22" s="42"/>
      <c r="E22" s="42"/>
      <c r="F22" s="42"/>
      <c r="G22" s="42"/>
      <c r="H22" s="42"/>
      <c r="I22" s="43"/>
    </row>
    <row r="23" spans="1:9" ht="43.5" x14ac:dyDescent="0.25">
      <c r="A23" s="9" t="s">
        <v>140</v>
      </c>
      <c r="B23" s="10" t="s">
        <v>70</v>
      </c>
      <c r="C23" s="9" t="s">
        <v>71</v>
      </c>
      <c r="D23" s="11" t="s">
        <v>141</v>
      </c>
      <c r="E23" s="12" t="s">
        <v>142</v>
      </c>
      <c r="F23" s="12" t="s">
        <v>143</v>
      </c>
      <c r="G23" s="12" t="s">
        <v>144</v>
      </c>
      <c r="H23" s="12" t="s">
        <v>71</v>
      </c>
      <c r="I23" s="12" t="s">
        <v>71</v>
      </c>
    </row>
    <row r="24" spans="1:9" ht="43.5" x14ac:dyDescent="0.25">
      <c r="A24" s="9" t="s">
        <v>140</v>
      </c>
      <c r="B24" s="10" t="s">
        <v>70</v>
      </c>
      <c r="C24" s="9" t="s">
        <v>71</v>
      </c>
      <c r="D24" s="11" t="s">
        <v>145</v>
      </c>
      <c r="E24" s="12" t="s">
        <v>146</v>
      </c>
      <c r="F24" s="12" t="s">
        <v>147</v>
      </c>
      <c r="G24" s="12" t="s">
        <v>148</v>
      </c>
      <c r="H24" s="12" t="s">
        <v>71</v>
      </c>
      <c r="I24" s="12" t="s">
        <v>71</v>
      </c>
    </row>
    <row r="25" spans="1:9" ht="29" x14ac:dyDescent="0.25">
      <c r="A25" s="9" t="s">
        <v>140</v>
      </c>
      <c r="B25" s="10" t="s">
        <v>70</v>
      </c>
      <c r="C25" s="9" t="s">
        <v>71</v>
      </c>
      <c r="D25" s="11" t="s">
        <v>149</v>
      </c>
      <c r="E25" s="12" t="s">
        <v>150</v>
      </c>
      <c r="F25" s="12" t="s">
        <v>151</v>
      </c>
      <c r="G25" s="12" t="s">
        <v>152</v>
      </c>
      <c r="H25" s="12" t="s">
        <v>71</v>
      </c>
      <c r="I25" s="12" t="s">
        <v>71</v>
      </c>
    </row>
    <row r="26" spans="1:9" ht="29" x14ac:dyDescent="0.25">
      <c r="A26" s="13" t="s">
        <v>140</v>
      </c>
      <c r="B26" s="14" t="s">
        <v>84</v>
      </c>
      <c r="C26" s="13">
        <v>1</v>
      </c>
      <c r="D26" s="15" t="s">
        <v>153</v>
      </c>
      <c r="E26" s="16" t="s">
        <v>154</v>
      </c>
      <c r="F26" s="13" t="s">
        <v>71</v>
      </c>
      <c r="G26" s="16" t="s">
        <v>155</v>
      </c>
      <c r="H26" s="16" t="s">
        <v>156</v>
      </c>
      <c r="I26" s="16" t="s">
        <v>157</v>
      </c>
    </row>
    <row r="27" spans="1:9" ht="29" x14ac:dyDescent="0.25">
      <c r="A27" s="13" t="s">
        <v>140</v>
      </c>
      <c r="B27" s="14" t="s">
        <v>84</v>
      </c>
      <c r="C27" s="13">
        <v>2</v>
      </c>
      <c r="D27" s="15" t="s">
        <v>158</v>
      </c>
      <c r="E27" s="16" t="s">
        <v>159</v>
      </c>
      <c r="F27" s="13" t="s">
        <v>71</v>
      </c>
      <c r="G27" s="16" t="s">
        <v>160</v>
      </c>
      <c r="H27" s="16" t="s">
        <v>161</v>
      </c>
      <c r="I27" s="16" t="s">
        <v>162</v>
      </c>
    </row>
    <row r="28" spans="1:9" ht="29" x14ac:dyDescent="0.25">
      <c r="A28" s="13" t="s">
        <v>140</v>
      </c>
      <c r="B28" s="14" t="s">
        <v>84</v>
      </c>
      <c r="C28" s="13">
        <v>3</v>
      </c>
      <c r="D28" s="15" t="s">
        <v>163</v>
      </c>
      <c r="E28" s="16" t="s">
        <v>164</v>
      </c>
      <c r="F28" s="13" t="s">
        <v>71</v>
      </c>
      <c r="G28" s="16" t="s">
        <v>165</v>
      </c>
      <c r="H28" s="16" t="s">
        <v>166</v>
      </c>
      <c r="I28" s="16" t="s">
        <v>167</v>
      </c>
    </row>
    <row r="29" spans="1:9" ht="29" x14ac:dyDescent="0.25">
      <c r="A29" s="13" t="s">
        <v>140</v>
      </c>
      <c r="B29" s="14" t="s">
        <v>84</v>
      </c>
      <c r="C29" s="13">
        <v>4</v>
      </c>
      <c r="D29" s="15" t="s">
        <v>168</v>
      </c>
      <c r="E29" s="16" t="s">
        <v>169</v>
      </c>
      <c r="F29" s="13" t="s">
        <v>71</v>
      </c>
      <c r="G29" s="16" t="s">
        <v>170</v>
      </c>
      <c r="H29" s="16" t="s">
        <v>171</v>
      </c>
      <c r="I29" s="16" t="s">
        <v>172</v>
      </c>
    </row>
    <row r="30" spans="1:9" ht="66" x14ac:dyDescent="0.25">
      <c r="A30" s="1" t="s">
        <v>173</v>
      </c>
      <c r="B30" s="5"/>
      <c r="C30" s="5"/>
      <c r="D30" s="5"/>
      <c r="E30" s="5"/>
      <c r="F30" s="5"/>
      <c r="G30" s="5"/>
      <c r="H30" s="5"/>
      <c r="I30" s="6"/>
    </row>
    <row r="31" spans="1:9" ht="20" customHeight="1" x14ac:dyDescent="0.25">
      <c r="A31" s="41" t="s">
        <v>174</v>
      </c>
      <c r="B31" s="42"/>
      <c r="C31" s="42"/>
      <c r="D31" s="42"/>
      <c r="E31" s="42"/>
      <c r="F31" s="42"/>
      <c r="G31" s="42"/>
      <c r="H31" s="42"/>
      <c r="I31" s="43"/>
    </row>
    <row r="32" spans="1:9" ht="72.5" x14ac:dyDescent="0.25">
      <c r="A32" s="9" t="s">
        <v>174</v>
      </c>
      <c r="B32" s="10" t="s">
        <v>70</v>
      </c>
      <c r="C32" s="9" t="s">
        <v>71</v>
      </c>
      <c r="D32" s="11" t="s">
        <v>175</v>
      </c>
      <c r="E32" s="12" t="s">
        <v>176</v>
      </c>
      <c r="F32" s="12" t="s">
        <v>177</v>
      </c>
      <c r="G32" s="12" t="s">
        <v>178</v>
      </c>
      <c r="H32" s="12" t="s">
        <v>71</v>
      </c>
      <c r="I32" s="12" t="s">
        <v>71</v>
      </c>
    </row>
    <row r="33" spans="1:9" ht="29" x14ac:dyDescent="0.25">
      <c r="A33" s="9" t="s">
        <v>174</v>
      </c>
      <c r="B33" s="10" t="s">
        <v>70</v>
      </c>
      <c r="C33" s="9" t="s">
        <v>71</v>
      </c>
      <c r="D33" s="11" t="s">
        <v>179</v>
      </c>
      <c r="E33" s="12" t="s">
        <v>180</v>
      </c>
      <c r="F33" s="12" t="s">
        <v>181</v>
      </c>
      <c r="G33" s="12" t="s">
        <v>182</v>
      </c>
      <c r="H33" s="12" t="s">
        <v>71</v>
      </c>
      <c r="I33" s="12" t="s">
        <v>71</v>
      </c>
    </row>
    <row r="34" spans="1:9" ht="29" x14ac:dyDescent="0.25">
      <c r="A34" s="9" t="s">
        <v>174</v>
      </c>
      <c r="B34" s="10" t="s">
        <v>70</v>
      </c>
      <c r="C34" s="9" t="s">
        <v>71</v>
      </c>
      <c r="D34" s="11" t="s">
        <v>183</v>
      </c>
      <c r="E34" s="12" t="s">
        <v>184</v>
      </c>
      <c r="F34" s="12" t="s">
        <v>185</v>
      </c>
      <c r="G34" s="12" t="s">
        <v>186</v>
      </c>
      <c r="H34" s="12" t="s">
        <v>30</v>
      </c>
      <c r="I34" s="12" t="s">
        <v>71</v>
      </c>
    </row>
    <row r="35" spans="1:9" ht="14.5" x14ac:dyDescent="0.25">
      <c r="A35" s="13" t="s">
        <v>174</v>
      </c>
      <c r="B35" s="14" t="s">
        <v>84</v>
      </c>
      <c r="C35" s="13">
        <v>1</v>
      </c>
      <c r="D35" s="15" t="s">
        <v>187</v>
      </c>
      <c r="E35" s="16" t="s">
        <v>188</v>
      </c>
      <c r="F35" s="13" t="s">
        <v>71</v>
      </c>
      <c r="G35" s="16" t="s">
        <v>189</v>
      </c>
      <c r="H35" s="16" t="s">
        <v>190</v>
      </c>
      <c r="I35" s="16" t="s">
        <v>191</v>
      </c>
    </row>
    <row r="36" spans="1:9" ht="72.5" x14ac:dyDescent="0.25">
      <c r="A36" s="13" t="s">
        <v>174</v>
      </c>
      <c r="B36" s="14" t="s">
        <v>84</v>
      </c>
      <c r="C36" s="13">
        <v>2</v>
      </c>
      <c r="D36" s="15" t="s">
        <v>192</v>
      </c>
      <c r="E36" s="16" t="s">
        <v>193</v>
      </c>
      <c r="F36" s="13" t="s">
        <v>71</v>
      </c>
      <c r="G36" s="16" t="s">
        <v>194</v>
      </c>
      <c r="H36" s="16" t="s">
        <v>195</v>
      </c>
      <c r="I36" s="16" t="s">
        <v>196</v>
      </c>
    </row>
    <row r="37" spans="1:9" ht="29" x14ac:dyDescent="0.25">
      <c r="A37" s="13" t="s">
        <v>174</v>
      </c>
      <c r="B37" s="14" t="s">
        <v>84</v>
      </c>
      <c r="C37" s="13">
        <v>3</v>
      </c>
      <c r="D37" s="15" t="s">
        <v>197</v>
      </c>
      <c r="E37" s="16" t="s">
        <v>198</v>
      </c>
      <c r="F37" s="13" t="s">
        <v>71</v>
      </c>
      <c r="G37" s="16" t="s">
        <v>199</v>
      </c>
      <c r="H37" s="16" t="s">
        <v>200</v>
      </c>
      <c r="I37" s="16" t="s">
        <v>201</v>
      </c>
    </row>
    <row r="38" spans="1:9" ht="29" x14ac:dyDescent="0.25">
      <c r="A38" s="13" t="s">
        <v>174</v>
      </c>
      <c r="B38" s="14" t="s">
        <v>84</v>
      </c>
      <c r="C38" s="13">
        <v>4</v>
      </c>
      <c r="D38" s="15" t="s">
        <v>202</v>
      </c>
      <c r="E38" s="16" t="s">
        <v>203</v>
      </c>
      <c r="F38" s="13" t="s">
        <v>71</v>
      </c>
      <c r="G38" s="16" t="s">
        <v>204</v>
      </c>
      <c r="H38" s="16" t="s">
        <v>205</v>
      </c>
      <c r="I38" s="16" t="s">
        <v>206</v>
      </c>
    </row>
  </sheetData>
  <mergeCells count="5">
    <mergeCell ref="A1:I1"/>
    <mergeCell ref="A4:I4"/>
    <mergeCell ref="A13:I13"/>
    <mergeCell ref="A22:I22"/>
    <mergeCell ref="A31:I3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2" topLeftCell="A3" activePane="bottomLeft" state="frozen"/>
      <selection pane="bottomLeft"/>
    </sheetView>
  </sheetViews>
  <sheetFormatPr defaultRowHeight="14" x14ac:dyDescent="0.25"/>
  <cols>
    <col min="1" max="1" width="10" customWidth="1"/>
    <col min="2" max="2" width="28" customWidth="1"/>
    <col min="3" max="3" width="24" customWidth="1"/>
    <col min="4" max="4" width="12" customWidth="1"/>
    <col min="5" max="5" width="44" customWidth="1"/>
    <col min="6" max="6" width="12" customWidth="1"/>
  </cols>
  <sheetData>
    <row r="1" spans="1:6" ht="30" customHeight="1" x14ac:dyDescent="0.25">
      <c r="A1" s="44" t="s">
        <v>207</v>
      </c>
      <c r="B1" s="31"/>
      <c r="C1" s="31"/>
      <c r="D1" s="31"/>
      <c r="E1" s="31"/>
      <c r="F1" s="31"/>
    </row>
    <row r="2" spans="1:6" ht="20" customHeight="1" x14ac:dyDescent="0.25">
      <c r="A2" s="45" t="s">
        <v>208</v>
      </c>
      <c r="B2" s="31"/>
      <c r="C2" s="31"/>
      <c r="D2" s="31"/>
      <c r="E2" s="31"/>
      <c r="F2" s="31"/>
    </row>
    <row r="3" spans="1:6" ht="24" customHeight="1" x14ac:dyDescent="0.25">
      <c r="A3" s="3" t="s">
        <v>209</v>
      </c>
      <c r="B3" s="3" t="s">
        <v>210</v>
      </c>
      <c r="C3" s="3" t="s">
        <v>211</v>
      </c>
      <c r="D3" s="3" t="s">
        <v>212</v>
      </c>
      <c r="E3" s="3" t="s">
        <v>213</v>
      </c>
      <c r="F3" s="3" t="s">
        <v>214</v>
      </c>
    </row>
    <row r="4" spans="1:6" ht="16.5" x14ac:dyDescent="0.25">
      <c r="A4" s="4" t="s">
        <v>215</v>
      </c>
      <c r="B4" s="4" t="s">
        <v>216</v>
      </c>
      <c r="C4" s="4" t="s">
        <v>217</v>
      </c>
      <c r="D4" s="4" t="s">
        <v>218</v>
      </c>
      <c r="E4" s="4" t="s">
        <v>219</v>
      </c>
      <c r="F4" s="4" t="s">
        <v>220</v>
      </c>
    </row>
    <row r="5" spans="1:6" ht="16.5" x14ac:dyDescent="0.25">
      <c r="A5" s="2" t="s">
        <v>215</v>
      </c>
      <c r="B5" s="2" t="s">
        <v>221</v>
      </c>
      <c r="C5" s="2" t="s">
        <v>222</v>
      </c>
      <c r="D5" s="2" t="s">
        <v>223</v>
      </c>
      <c r="E5" s="2" t="s">
        <v>224</v>
      </c>
      <c r="F5" s="2" t="s">
        <v>220</v>
      </c>
    </row>
    <row r="6" spans="1:6" ht="33" x14ac:dyDescent="0.25">
      <c r="A6" s="4" t="s">
        <v>215</v>
      </c>
      <c r="B6" s="4" t="s">
        <v>225</v>
      </c>
      <c r="C6" s="4" t="s">
        <v>226</v>
      </c>
      <c r="D6" s="4" t="s">
        <v>227</v>
      </c>
      <c r="E6" s="4" t="s">
        <v>228</v>
      </c>
      <c r="F6" s="4" t="s">
        <v>220</v>
      </c>
    </row>
    <row r="7" spans="1:6" ht="16.5" x14ac:dyDescent="0.25">
      <c r="A7" s="2" t="s">
        <v>215</v>
      </c>
      <c r="B7" s="2" t="s">
        <v>229</v>
      </c>
      <c r="C7" s="2" t="s">
        <v>230</v>
      </c>
      <c r="D7" s="2" t="s">
        <v>227</v>
      </c>
      <c r="E7" s="2" t="s">
        <v>231</v>
      </c>
      <c r="F7" s="2" t="s">
        <v>232</v>
      </c>
    </row>
    <row r="8" spans="1:6" ht="16.5" x14ac:dyDescent="0.25">
      <c r="A8" s="4" t="s">
        <v>215</v>
      </c>
      <c r="B8" s="4" t="s">
        <v>233</v>
      </c>
      <c r="C8" s="4" t="s">
        <v>234</v>
      </c>
      <c r="D8" s="4" t="s">
        <v>235</v>
      </c>
      <c r="E8" s="4" t="s">
        <v>236</v>
      </c>
      <c r="F8" s="4" t="s">
        <v>232</v>
      </c>
    </row>
    <row r="9" spans="1:6" ht="16.5" x14ac:dyDescent="0.25">
      <c r="A9" s="2" t="s">
        <v>215</v>
      </c>
      <c r="B9" s="2" t="s">
        <v>237</v>
      </c>
      <c r="C9" s="2" t="s">
        <v>238</v>
      </c>
      <c r="D9" s="2" t="s">
        <v>218</v>
      </c>
      <c r="E9" s="2" t="s">
        <v>239</v>
      </c>
      <c r="F9" s="2" t="s">
        <v>240</v>
      </c>
    </row>
    <row r="10" spans="1:6" ht="16.5" x14ac:dyDescent="0.25">
      <c r="A10" s="4" t="s">
        <v>215</v>
      </c>
      <c r="B10" s="4" t="s">
        <v>241</v>
      </c>
      <c r="C10" s="4" t="s">
        <v>242</v>
      </c>
      <c r="D10" s="4" t="s">
        <v>218</v>
      </c>
      <c r="E10" s="4" t="s">
        <v>243</v>
      </c>
      <c r="F10" s="4" t="s">
        <v>232</v>
      </c>
    </row>
    <row r="11" spans="1:6" ht="33" x14ac:dyDescent="0.25">
      <c r="A11" s="2" t="s">
        <v>244</v>
      </c>
      <c r="B11" s="2" t="s">
        <v>245</v>
      </c>
      <c r="C11" s="2" t="s">
        <v>246</v>
      </c>
      <c r="D11" s="2" t="s">
        <v>218</v>
      </c>
      <c r="E11" s="2" t="s">
        <v>247</v>
      </c>
      <c r="F11" s="2" t="s">
        <v>232</v>
      </c>
    </row>
    <row r="12" spans="1:6" ht="33" x14ac:dyDescent="0.25">
      <c r="A12" s="4" t="s">
        <v>244</v>
      </c>
      <c r="B12" s="4" t="s">
        <v>248</v>
      </c>
      <c r="C12" s="4" t="s">
        <v>249</v>
      </c>
      <c r="D12" s="4" t="s">
        <v>69</v>
      </c>
      <c r="E12" s="4" t="s">
        <v>250</v>
      </c>
      <c r="F12" s="4" t="s">
        <v>251</v>
      </c>
    </row>
    <row r="13" spans="1:6" ht="33" x14ac:dyDescent="0.25">
      <c r="A13" s="2" t="s">
        <v>244</v>
      </c>
      <c r="B13" s="2" t="s">
        <v>252</v>
      </c>
      <c r="C13" s="2" t="s">
        <v>253</v>
      </c>
      <c r="D13" s="2" t="s">
        <v>223</v>
      </c>
      <c r="E13" s="2" t="s">
        <v>254</v>
      </c>
      <c r="F13" s="2" t="s">
        <v>251</v>
      </c>
    </row>
    <row r="14" spans="1:6" ht="16.5" x14ac:dyDescent="0.25">
      <c r="A14" s="4" t="s">
        <v>244</v>
      </c>
      <c r="B14" s="4" t="s">
        <v>255</v>
      </c>
      <c r="C14" s="4" t="s">
        <v>256</v>
      </c>
      <c r="D14" s="4" t="s">
        <v>218</v>
      </c>
      <c r="E14" s="4" t="s">
        <v>257</v>
      </c>
      <c r="F14" s="4" t="s">
        <v>251</v>
      </c>
    </row>
    <row r="15" spans="1:6" ht="16.5" x14ac:dyDescent="0.25">
      <c r="A15" s="2" t="s">
        <v>244</v>
      </c>
      <c r="B15" s="2" t="s">
        <v>258</v>
      </c>
      <c r="C15" s="2" t="s">
        <v>259</v>
      </c>
      <c r="D15" s="2" t="s">
        <v>227</v>
      </c>
      <c r="E15" s="2" t="s">
        <v>260</v>
      </c>
      <c r="F15" s="2" t="s">
        <v>232</v>
      </c>
    </row>
    <row r="16" spans="1:6" ht="16.5" x14ac:dyDescent="0.25">
      <c r="A16" s="4" t="s">
        <v>244</v>
      </c>
      <c r="B16" s="4" t="s">
        <v>261</v>
      </c>
      <c r="C16" s="4" t="s">
        <v>117</v>
      </c>
      <c r="D16" s="4" t="s">
        <v>227</v>
      </c>
      <c r="E16" s="4" t="s">
        <v>262</v>
      </c>
      <c r="F16" s="4" t="s">
        <v>232</v>
      </c>
    </row>
    <row r="17" spans="1:6" ht="16.5" x14ac:dyDescent="0.25">
      <c r="A17" s="2" t="s">
        <v>244</v>
      </c>
      <c r="B17" s="2" t="s">
        <v>263</v>
      </c>
      <c r="C17" s="2" t="s">
        <v>264</v>
      </c>
      <c r="D17" s="2" t="s">
        <v>235</v>
      </c>
      <c r="E17" s="2" t="s">
        <v>265</v>
      </c>
      <c r="F17" s="2" t="s">
        <v>232</v>
      </c>
    </row>
    <row r="18" spans="1:6" ht="16.5" x14ac:dyDescent="0.25">
      <c r="A18" s="4" t="s">
        <v>244</v>
      </c>
      <c r="B18" s="4" t="s">
        <v>266</v>
      </c>
      <c r="C18" s="4" t="s">
        <v>267</v>
      </c>
      <c r="D18" s="4" t="s">
        <v>235</v>
      </c>
      <c r="E18" s="4" t="s">
        <v>268</v>
      </c>
      <c r="F18" s="4" t="s">
        <v>232</v>
      </c>
    </row>
    <row r="19" spans="1:6" ht="49.5" x14ac:dyDescent="0.25">
      <c r="A19" s="2" t="s">
        <v>244</v>
      </c>
      <c r="B19" s="2" t="s">
        <v>269</v>
      </c>
      <c r="C19" s="2" t="s">
        <v>270</v>
      </c>
      <c r="D19" s="2" t="s">
        <v>174</v>
      </c>
      <c r="E19" s="2" t="s">
        <v>271</v>
      </c>
      <c r="F19" s="2" t="s">
        <v>232</v>
      </c>
    </row>
    <row r="20" spans="1:6" ht="16.5" x14ac:dyDescent="0.25">
      <c r="A20" s="4" t="s">
        <v>244</v>
      </c>
      <c r="B20" s="4" t="s">
        <v>272</v>
      </c>
      <c r="C20" s="4" t="s">
        <v>273</v>
      </c>
      <c r="D20" s="4" t="s">
        <v>218</v>
      </c>
      <c r="E20" s="4" t="s">
        <v>274</v>
      </c>
      <c r="F20" s="4" t="s">
        <v>251</v>
      </c>
    </row>
    <row r="21" spans="1:6" ht="16.5" x14ac:dyDescent="0.25">
      <c r="A21" s="2" t="s">
        <v>275</v>
      </c>
      <c r="B21" s="2" t="s">
        <v>276</v>
      </c>
      <c r="C21" s="2" t="s">
        <v>277</v>
      </c>
      <c r="D21" s="2" t="s">
        <v>227</v>
      </c>
      <c r="E21" s="2" t="s">
        <v>278</v>
      </c>
      <c r="F21" s="2" t="s">
        <v>279</v>
      </c>
    </row>
    <row r="22" spans="1:6" ht="16.5" x14ac:dyDescent="0.25">
      <c r="A22" s="4" t="s">
        <v>275</v>
      </c>
      <c r="B22" s="4" t="s">
        <v>280</v>
      </c>
      <c r="C22" s="4" t="s">
        <v>281</v>
      </c>
      <c r="D22" s="4" t="s">
        <v>218</v>
      </c>
      <c r="E22" s="4" t="s">
        <v>282</v>
      </c>
      <c r="F22" s="4" t="s">
        <v>283</v>
      </c>
    </row>
  </sheetData>
  <mergeCells count="2">
    <mergeCell ref="A1:F1"/>
    <mergeCell ref="A2:F2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2" topLeftCell="A3" activePane="bottomLeft" state="frozen"/>
      <selection pane="bottomLeft"/>
    </sheetView>
  </sheetViews>
  <sheetFormatPr defaultRowHeight="14" x14ac:dyDescent="0.25"/>
  <cols>
    <col min="1" max="1" width="8" customWidth="1"/>
    <col min="2" max="2" width="30" customWidth="1"/>
    <col min="3" max="3" width="18" customWidth="1"/>
    <col min="4" max="4" width="56" customWidth="1"/>
    <col min="5" max="6" width="8" customWidth="1"/>
  </cols>
  <sheetData>
    <row r="1" spans="1:6" ht="30" customHeight="1" x14ac:dyDescent="0.25">
      <c r="A1" s="44" t="s">
        <v>284</v>
      </c>
      <c r="B1" s="31"/>
      <c r="C1" s="31"/>
      <c r="D1" s="31"/>
      <c r="E1" s="31"/>
      <c r="F1" s="31"/>
    </row>
    <row r="2" spans="1:6" ht="20" customHeight="1" x14ac:dyDescent="0.25">
      <c r="A2" s="45" t="s">
        <v>285</v>
      </c>
      <c r="B2" s="31"/>
      <c r="C2" s="31"/>
      <c r="D2" s="31"/>
      <c r="E2" s="31"/>
      <c r="F2" s="31"/>
    </row>
    <row r="3" spans="1:6" ht="24" customHeight="1" x14ac:dyDescent="0.25">
      <c r="A3" s="3" t="s">
        <v>286</v>
      </c>
      <c r="B3" s="3" t="s">
        <v>287</v>
      </c>
      <c r="C3" s="3" t="s">
        <v>288</v>
      </c>
      <c r="D3" s="3" t="s">
        <v>289</v>
      </c>
      <c r="E3" s="3" t="s">
        <v>290</v>
      </c>
      <c r="F3" s="3" t="s">
        <v>291</v>
      </c>
    </row>
    <row r="4" spans="1:6" ht="49.5" x14ac:dyDescent="0.25">
      <c r="A4" s="4" t="s">
        <v>292</v>
      </c>
      <c r="B4" s="4" t="s">
        <v>293</v>
      </c>
      <c r="C4" s="4" t="s">
        <v>294</v>
      </c>
      <c r="D4" s="4">
        <v>25</v>
      </c>
    </row>
    <row r="5" spans="1:6" ht="49.5" x14ac:dyDescent="0.25">
      <c r="A5" s="2" t="s">
        <v>295</v>
      </c>
      <c r="B5" s="2" t="s">
        <v>296</v>
      </c>
      <c r="C5" s="2" t="s">
        <v>297</v>
      </c>
      <c r="D5" s="2">
        <v>25</v>
      </c>
    </row>
    <row r="6" spans="1:6" ht="82.5" x14ac:dyDescent="0.25">
      <c r="A6" s="4" t="s">
        <v>298</v>
      </c>
      <c r="B6" s="4" t="s">
        <v>299</v>
      </c>
      <c r="C6" s="4" t="s">
        <v>300</v>
      </c>
      <c r="D6" s="4">
        <v>25</v>
      </c>
    </row>
    <row r="7" spans="1:6" ht="49.5" x14ac:dyDescent="0.25">
      <c r="A7" s="2" t="s">
        <v>301</v>
      </c>
      <c r="B7" s="2" t="s">
        <v>302</v>
      </c>
      <c r="C7" s="2" t="s">
        <v>303</v>
      </c>
      <c r="D7" s="2">
        <v>15</v>
      </c>
    </row>
    <row r="8" spans="1:6" ht="49.5" x14ac:dyDescent="0.25">
      <c r="A8" s="4" t="s">
        <v>304</v>
      </c>
      <c r="B8" s="4" t="s">
        <v>305</v>
      </c>
      <c r="C8" s="4" t="s">
        <v>306</v>
      </c>
      <c r="D8" s="4">
        <v>10</v>
      </c>
    </row>
    <row r="9" spans="1:6" ht="16.5" x14ac:dyDescent="0.25">
      <c r="A9" s="7" t="s">
        <v>307</v>
      </c>
      <c r="B9" s="46" t="s">
        <v>308</v>
      </c>
      <c r="C9" s="43"/>
      <c r="D9" s="8" t="s">
        <v>309</v>
      </c>
      <c r="E9" s="7">
        <f>SUM(E4:E8)</f>
        <v>0</v>
      </c>
      <c r="F9" s="7">
        <f>SUM(F4:F8)</f>
        <v>0</v>
      </c>
    </row>
    <row r="11" spans="1:6" x14ac:dyDescent="0.25">
      <c r="A11" s="47" t="s">
        <v>310</v>
      </c>
      <c r="B11" s="31"/>
      <c r="C11" s="31"/>
      <c r="D11" s="31"/>
      <c r="E11" s="31"/>
      <c r="F11" s="31"/>
    </row>
  </sheetData>
  <mergeCells count="4">
    <mergeCell ref="A1:F1"/>
    <mergeCell ref="A2:F2"/>
    <mergeCell ref="B9:C9"/>
    <mergeCell ref="A11:F11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pane ySplit="2" topLeftCell="A3" activePane="bottomLeft" state="frozen"/>
      <selection pane="bottomLeft"/>
    </sheetView>
  </sheetViews>
  <sheetFormatPr defaultRowHeight="14" x14ac:dyDescent="0.25"/>
  <cols>
    <col min="1" max="1" width="12" customWidth="1"/>
    <col min="2" max="2" width="40" customWidth="1"/>
    <col min="3" max="3" width="8" customWidth="1"/>
    <col min="4" max="4" width="44" customWidth="1"/>
    <col min="5" max="5" width="32" customWidth="1"/>
    <col min="6" max="6" width="12" customWidth="1"/>
  </cols>
  <sheetData>
    <row r="1" spans="1:6" ht="30" customHeight="1" x14ac:dyDescent="0.25">
      <c r="A1" s="44" t="s">
        <v>311</v>
      </c>
      <c r="B1" s="31"/>
      <c r="C1" s="31"/>
      <c r="D1" s="31"/>
      <c r="E1" s="31"/>
      <c r="F1" s="31"/>
    </row>
    <row r="2" spans="1:6" ht="20" customHeight="1" x14ac:dyDescent="0.25">
      <c r="A2" s="45" t="s">
        <v>312</v>
      </c>
      <c r="B2" s="31"/>
      <c r="C2" s="31"/>
      <c r="D2" s="31"/>
      <c r="E2" s="31"/>
      <c r="F2" s="31"/>
    </row>
    <row r="3" spans="1:6" ht="24" customHeight="1" x14ac:dyDescent="0.25">
      <c r="A3" s="3" t="s">
        <v>313</v>
      </c>
      <c r="B3" s="3" t="s">
        <v>314</v>
      </c>
      <c r="C3" s="3" t="s">
        <v>315</v>
      </c>
      <c r="D3" s="3" t="s">
        <v>316</v>
      </c>
      <c r="E3" s="3" t="s">
        <v>317</v>
      </c>
      <c r="F3" s="3" t="s">
        <v>318</v>
      </c>
    </row>
    <row r="4" spans="1:6" ht="33" x14ac:dyDescent="0.25">
      <c r="A4" s="4" t="s">
        <v>319</v>
      </c>
      <c r="B4" s="4" t="s">
        <v>320</v>
      </c>
      <c r="C4" s="4" t="s">
        <v>321</v>
      </c>
      <c r="D4" s="4" t="s">
        <v>322</v>
      </c>
      <c r="E4" s="4" t="s">
        <v>323</v>
      </c>
      <c r="F4" s="4" t="s">
        <v>324</v>
      </c>
    </row>
    <row r="5" spans="1:6" ht="16.5" x14ac:dyDescent="0.25">
      <c r="A5" s="2" t="s">
        <v>319</v>
      </c>
      <c r="B5" s="2" t="s">
        <v>325</v>
      </c>
      <c r="C5" s="2" t="s">
        <v>321</v>
      </c>
      <c r="D5" s="2" t="s">
        <v>326</v>
      </c>
      <c r="E5" s="2" t="s">
        <v>327</v>
      </c>
      <c r="F5" s="2" t="s">
        <v>328</v>
      </c>
    </row>
    <row r="6" spans="1:6" ht="33" x14ac:dyDescent="0.25">
      <c r="A6" s="4" t="s">
        <v>329</v>
      </c>
      <c r="B6" s="4" t="s">
        <v>330</v>
      </c>
      <c r="C6" s="4" t="s">
        <v>331</v>
      </c>
      <c r="D6" s="4" t="s">
        <v>332</v>
      </c>
      <c r="E6" s="4" t="s">
        <v>333</v>
      </c>
      <c r="F6" s="4" t="s">
        <v>334</v>
      </c>
    </row>
    <row r="7" spans="1:6" ht="33" x14ac:dyDescent="0.25">
      <c r="A7" s="2" t="s">
        <v>335</v>
      </c>
      <c r="B7" s="2" t="s">
        <v>336</v>
      </c>
      <c r="C7" s="2" t="s">
        <v>331</v>
      </c>
      <c r="D7" s="2" t="s">
        <v>337</v>
      </c>
      <c r="E7" s="2" t="s">
        <v>338</v>
      </c>
      <c r="F7" s="2" t="s">
        <v>339</v>
      </c>
    </row>
    <row r="8" spans="1:6" ht="33" x14ac:dyDescent="0.25">
      <c r="A8" s="4" t="s">
        <v>335</v>
      </c>
      <c r="B8" s="4" t="s">
        <v>340</v>
      </c>
      <c r="C8" s="4" t="s">
        <v>331</v>
      </c>
      <c r="D8" s="4" t="s">
        <v>341</v>
      </c>
      <c r="E8" s="4" t="s">
        <v>342</v>
      </c>
      <c r="F8" s="4" t="s">
        <v>339</v>
      </c>
    </row>
    <row r="9" spans="1:6" ht="33" x14ac:dyDescent="0.25">
      <c r="A9" s="2" t="s">
        <v>343</v>
      </c>
      <c r="B9" s="2" t="s">
        <v>344</v>
      </c>
      <c r="C9" s="2" t="s">
        <v>331</v>
      </c>
      <c r="D9" s="2" t="s">
        <v>345</v>
      </c>
      <c r="E9" s="2" t="s">
        <v>346</v>
      </c>
      <c r="F9" s="2" t="s">
        <v>339</v>
      </c>
    </row>
    <row r="10" spans="1:6" ht="16.5" x14ac:dyDescent="0.25">
      <c r="A10" s="4" t="s">
        <v>329</v>
      </c>
      <c r="B10" s="4" t="s">
        <v>347</v>
      </c>
      <c r="C10" s="4" t="s">
        <v>331</v>
      </c>
      <c r="D10" s="4" t="s">
        <v>348</v>
      </c>
      <c r="E10" s="4" t="s">
        <v>349</v>
      </c>
      <c r="F10" s="4" t="s">
        <v>339</v>
      </c>
    </row>
    <row r="11" spans="1:6" ht="33" x14ac:dyDescent="0.25">
      <c r="A11" s="2" t="s">
        <v>350</v>
      </c>
      <c r="B11" s="2" t="s">
        <v>351</v>
      </c>
      <c r="C11" s="2" t="s">
        <v>352</v>
      </c>
      <c r="D11" s="2" t="s">
        <v>353</v>
      </c>
      <c r="E11" s="2" t="s">
        <v>354</v>
      </c>
      <c r="F11" s="2" t="s">
        <v>328</v>
      </c>
    </row>
  </sheetData>
  <mergeCells count="2">
    <mergeCell ref="A1:F1"/>
    <mergeCell ref="A2:F2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培训概览</vt:lpstr>
      <vt:lpstr>课程教学计划</vt:lpstr>
      <vt:lpstr>软硬件环境清单</vt:lpstr>
      <vt:lpstr>考核与评分标准</vt:lpstr>
      <vt:lpstr>安全与风险预案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奎 李</cp:lastModifiedBy>
  <dcterms:created xsi:type="dcterms:W3CDTF">2026-09-20T01:37:07Z</dcterms:created>
  <dcterms:modified xsi:type="dcterms:W3CDTF">2026-09-20T03:12:23Z</dcterms:modified>
</cp:coreProperties>
</file>